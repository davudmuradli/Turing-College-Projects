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sment" sheetId="1" r:id="rId5"/>
    <sheet state="visible" name="Income Statement" sheetId="2" r:id="rId6"/>
    <sheet state="visible" name="Balance sheet" sheetId="3" r:id="rId7"/>
    <sheet state="visible" name="Cash flows" sheetId="4" r:id="rId8"/>
    <sheet state="visible" name="Task" sheetId="5" r:id="rId9"/>
  </sheets>
  <definedNames>
    <definedName name="BE_Total">#REF!</definedName>
    <definedName name="BE_Variable">#REF!</definedName>
    <definedName name="Suvartota_pašarams">#REF!</definedName>
    <definedName name="Table_total">#REF!</definedName>
    <definedName localSheetId="1" name="Revenue_increments">#REF!</definedName>
    <definedName name="Table_Variable">#REF!</definedName>
    <definedName name="Suvartota_sėklai">#REF!</definedName>
    <definedName name="Derlingumas">#REF!</definedName>
    <definedName name="Fixed_expenses">#REF!</definedName>
    <definedName name="Atsargos_t">#REF!</definedName>
    <definedName name="korekcijos_faktor">#REF!</definedName>
    <definedName localSheetId="3" name="Atsargos_t">#REF!</definedName>
    <definedName name="Pirkta_produkcija">#REF!</definedName>
    <definedName name="BE_Revenue">#REF!</definedName>
    <definedName name="Revenue_increments">#REF!</definedName>
    <definedName name="Contribution_margin">#REF!</definedName>
    <definedName name="Table_Revenue">#REF!</definedName>
    <definedName name="Parduota_natūra">#REF!</definedName>
    <definedName name="BE_Fixed">#REF!</definedName>
    <definedName name="Pardavimai_Lt">#REF!</definedName>
    <definedName localSheetId="3" name="ats">#REF!</definedName>
    <definedName localSheetId="2" name="Atsargos_t">#REF!</definedName>
    <definedName localSheetId="1" name="ats">#REF!</definedName>
    <definedName localSheetId="1" name="Atsargos_t">#REF!</definedName>
    <definedName name="Pardavimai_užskaitoma">#REF!</definedName>
    <definedName name="Table_Fixed">#REF!</definedName>
    <definedName localSheetId="3" name="Revenue_increments">#REF!</definedName>
    <definedName name="Derlius">#REF!</definedName>
    <definedName name="Išlaidos_Lt">#REF!</definedName>
    <definedName localSheetId="2" name="ats">#REF!</definedName>
    <definedName name="Plotas">#REF!</definedName>
    <definedName name="Kainos">#REF!</definedName>
    <definedName name="ats">#REF!</definedName>
    <definedName localSheetId="2" name="Revenue_increments">#REF!</definedName>
    <definedName name="korekcijos_faktor2">#REF!</definedName>
    <definedName name="Išlaikymo_nuostoliai">#REF!</definedName>
  </definedNames>
  <calcPr/>
</workbook>
</file>

<file path=xl/sharedStrings.xml><?xml version="1.0" encoding="utf-8"?>
<sst xmlns="http://schemas.openxmlformats.org/spreadsheetml/2006/main" count="225" uniqueCount="189">
  <si>
    <t>1 scenario</t>
  </si>
  <si>
    <t>2 scenario</t>
  </si>
  <si>
    <t>Project value and funding sources, EUR</t>
  </si>
  <si>
    <t>EUR, without VAT</t>
  </si>
  <si>
    <t>Total</t>
  </si>
  <si>
    <t>Investments in fixed assets - equipment</t>
  </si>
  <si>
    <t>Investments in fixed assets - buildings</t>
  </si>
  <si>
    <t>Salary of the project implementation team</t>
  </si>
  <si>
    <t>Purchase of services</t>
  </si>
  <si>
    <t>Total value of the project</t>
  </si>
  <si>
    <t>Private investment (third party)</t>
  </si>
  <si>
    <t>Own funds</t>
  </si>
  <si>
    <t>Financing of credit institutions</t>
  </si>
  <si>
    <t>Project funding sources, total</t>
  </si>
  <si>
    <t>Loan terms</t>
  </si>
  <si>
    <t>Private investment</t>
  </si>
  <si>
    <t>Duration - 5 years, interest rate - 5 percent.</t>
  </si>
  <si>
    <t>Refund - at expiration.</t>
  </si>
  <si>
    <t>Bank loan</t>
  </si>
  <si>
    <t>Duration - 3 years, interest rate - 3 percent.</t>
  </si>
  <si>
    <t>Repayment - a yearly loan balance of EUR 500,000 is repaid..</t>
  </si>
  <si>
    <t>Statement of profit or loss(Income Statement), EUR</t>
  </si>
  <si>
    <t>Articles</t>
  </si>
  <si>
    <t>I.</t>
  </si>
  <si>
    <t>SALES REVENUE</t>
  </si>
  <si>
    <t>Growth</t>
  </si>
  <si>
    <t>II.</t>
  </si>
  <si>
    <t>COST OF SALES</t>
  </si>
  <si>
    <t>Depreciation and amortization</t>
  </si>
  <si>
    <t>average salary each month for 24 month*</t>
  </si>
  <si>
    <t>Materials (raw materials)</t>
  </si>
  <si>
    <t>Wage</t>
  </si>
  <si>
    <t>Rental of industrial premises</t>
  </si>
  <si>
    <t>Others</t>
  </si>
  <si>
    <t>III.</t>
  </si>
  <si>
    <t>GROSS PROFIT (LOSS)</t>
  </si>
  <si>
    <t>IV.</t>
  </si>
  <si>
    <t>OPERATING COSTS</t>
  </si>
  <si>
    <t xml:space="preserve">  IV.1</t>
  </si>
  <si>
    <t>For sale</t>
  </si>
  <si>
    <t>?</t>
  </si>
  <si>
    <t>Employee</t>
  </si>
  <si>
    <t>How many months worked</t>
  </si>
  <si>
    <t>Marketing</t>
  </si>
  <si>
    <t xml:space="preserve">  IV.2</t>
  </si>
  <si>
    <t>General and administrative</t>
  </si>
  <si>
    <t>Average Salary( assumption)</t>
  </si>
  <si>
    <t>Rent of premises</t>
  </si>
  <si>
    <t>Inflation Rate (ECB policy)</t>
  </si>
  <si>
    <t>Discount Rate</t>
  </si>
  <si>
    <t>ITF</t>
  </si>
  <si>
    <t>V.</t>
  </si>
  <si>
    <t>OPERATING PROFIT</t>
  </si>
  <si>
    <t>Evalutation Period in years</t>
  </si>
  <si>
    <t>recommended to use less years</t>
  </si>
  <si>
    <t>VI.</t>
  </si>
  <si>
    <t>ANOTHER ACTIVITY</t>
  </si>
  <si>
    <t xml:space="preserve">  VI.1.</t>
  </si>
  <si>
    <t>Income</t>
  </si>
  <si>
    <t xml:space="preserve">  VI.2.</t>
  </si>
  <si>
    <t>Costs</t>
  </si>
  <si>
    <t>VII.</t>
  </si>
  <si>
    <t>FINANCING AND INVESTING ACTIVITIES</t>
  </si>
  <si>
    <t xml:space="preserve">  VII.1.</t>
  </si>
  <si>
    <t xml:space="preserve">  VII.2.</t>
  </si>
  <si>
    <t>X.</t>
  </si>
  <si>
    <t>LOSSES</t>
  </si>
  <si>
    <t>XI.</t>
  </si>
  <si>
    <t>PROFIT (LOSS) BEFORE TAX</t>
  </si>
  <si>
    <t>XII.</t>
  </si>
  <si>
    <t>INCOME TAX</t>
  </si>
  <si>
    <t>XIII.</t>
  </si>
  <si>
    <t>NET PROFIT (LOSS)</t>
  </si>
  <si>
    <t>Actual</t>
  </si>
  <si>
    <t>FIXED ASSETS</t>
  </si>
  <si>
    <t>INTANGIBLE ASSETS</t>
  </si>
  <si>
    <t>Patents and licenses</t>
  </si>
  <si>
    <t>software</t>
  </si>
  <si>
    <t>Other current assets</t>
  </si>
  <si>
    <t>TANGIBLE ASSETS</t>
  </si>
  <si>
    <t>Land</t>
  </si>
  <si>
    <t>Buildings and structures</t>
  </si>
  <si>
    <t>Machinery and equipment</t>
  </si>
  <si>
    <t>Vehicles</t>
  </si>
  <si>
    <t>Other equipment, tools and installations</t>
  </si>
  <si>
    <t>Construction work in progress</t>
  </si>
  <si>
    <t>Financial assets</t>
  </si>
  <si>
    <t>OTHER FIXED ASSETS</t>
  </si>
  <si>
    <t>CURRENT ASSETS</t>
  </si>
  <si>
    <t>STOCKS</t>
  </si>
  <si>
    <t>Raw materials and components</t>
  </si>
  <si>
    <t>Unfinished production</t>
  </si>
  <si>
    <t>Finished products</t>
  </si>
  <si>
    <t>Goods for resale</t>
  </si>
  <si>
    <t>Other</t>
  </si>
  <si>
    <t>AMOUNTS RECEIVABLE DURING ONE YEAR</t>
  </si>
  <si>
    <t>Trade receivables</t>
  </si>
  <si>
    <t>Other receivables</t>
  </si>
  <si>
    <t>OTHER CURRENT ASSETS</t>
  </si>
  <si>
    <t>CASH AND CASH EQUIVALENTS</t>
  </si>
  <si>
    <t>TOTAL ASSETS:</t>
  </si>
  <si>
    <t>PERSONAL CAPITAL</t>
  </si>
  <si>
    <t>CAPITAL:</t>
  </si>
  <si>
    <t>Authorized capital</t>
  </si>
  <si>
    <t>Discount extras</t>
  </si>
  <si>
    <t>REVALUATION RESERVE</t>
  </si>
  <si>
    <t>RESERVES:</t>
  </si>
  <si>
    <t>Mandatory</t>
  </si>
  <si>
    <t>Retained Earnings (LOSS)</t>
  </si>
  <si>
    <t>Profit (loss) for the reporting year</t>
  </si>
  <si>
    <t>Profit (loss) for the previous year</t>
  </si>
  <si>
    <t>GRANTS AND SUBSIDIES</t>
  </si>
  <si>
    <t>PAYMENT SUMS AND LIABILITIES</t>
  </si>
  <si>
    <t>AMOUNTS PAYABLE AFTER ONE YEAR AND NON-CURRENT LIABILITIES</t>
  </si>
  <si>
    <t>Financial debts</t>
  </si>
  <si>
    <t>Other debts</t>
  </si>
  <si>
    <t>AMOUNTS PAYABLE WITHIN ONE YEAR AND CURRENT LIABILITIES</t>
  </si>
  <si>
    <t>Current part of long - term debt</t>
  </si>
  <si>
    <t>Debts to suppliers</t>
  </si>
  <si>
    <t>TOTAL EQUITY AND LIABILITIES:</t>
  </si>
  <si>
    <t>Cash inflow (including VAT):</t>
  </si>
  <si>
    <t>From customers</t>
  </si>
  <si>
    <t>Cash benefits:</t>
  </si>
  <si>
    <t>Money paid to suppliers</t>
  </si>
  <si>
    <t>For wages</t>
  </si>
  <si>
    <t>Fees paid</t>
  </si>
  <si>
    <t>Other benefits</t>
  </si>
  <si>
    <t>Net cash flows from manufacturing activities</t>
  </si>
  <si>
    <t>Acquisition of fixed assets</t>
  </si>
  <si>
    <t>Transfer of fixed assets</t>
  </si>
  <si>
    <t>Other cash flows from investing activities (listed)</t>
  </si>
  <si>
    <t>Net cash flows from investing activities</t>
  </si>
  <si>
    <t>Shareholders' contributions</t>
  </si>
  <si>
    <t>Dividends are paid</t>
  </si>
  <si>
    <t>Obtaining loans</t>
  </si>
  <si>
    <t>Repayment of loans</t>
  </si>
  <si>
    <t>Interest paid</t>
  </si>
  <si>
    <t>Other cash flows from financing activities</t>
  </si>
  <si>
    <t>Net cash flows from financing activities</t>
  </si>
  <si>
    <t>Cash flow</t>
  </si>
  <si>
    <t>Amount of money at the beginning of the year</t>
  </si>
  <si>
    <t>Amount of money at the end of the year</t>
  </si>
  <si>
    <t>Check</t>
  </si>
  <si>
    <t>inflows of the project</t>
  </si>
  <si>
    <t>material</t>
  </si>
  <si>
    <t>cost of investment</t>
  </si>
  <si>
    <t>Year</t>
  </si>
  <si>
    <t>Revenue</t>
  </si>
  <si>
    <t xml:space="preserve">Increment </t>
  </si>
  <si>
    <t>Salary</t>
  </si>
  <si>
    <t>Initial Investment</t>
  </si>
  <si>
    <t>Financing Payments</t>
  </si>
  <si>
    <t>Cumilative</t>
  </si>
  <si>
    <t>Net Cash Flow</t>
  </si>
  <si>
    <t>Marketing Cost Assumption</t>
  </si>
  <si>
    <t>Scenario 1:</t>
  </si>
  <si>
    <t>Initial Revenue</t>
  </si>
  <si>
    <t>After project:</t>
  </si>
  <si>
    <t xml:space="preserve">Annual Growth </t>
  </si>
  <si>
    <t xml:space="preserve">Additional Costs </t>
  </si>
  <si>
    <t>Employess</t>
  </si>
  <si>
    <t>Wage per year</t>
  </si>
  <si>
    <t>Bank</t>
  </si>
  <si>
    <t>Private Investment</t>
  </si>
  <si>
    <t xml:space="preserve">Loan Interest </t>
  </si>
  <si>
    <t xml:space="preserve">Loan Principal </t>
  </si>
  <si>
    <t>Scenario 2</t>
  </si>
  <si>
    <t>Year 1</t>
  </si>
  <si>
    <t>Year 2</t>
  </si>
  <si>
    <t>Year 3</t>
  </si>
  <si>
    <t xml:space="preserve">Investment </t>
  </si>
  <si>
    <t xml:space="preserve">Revenue growth </t>
  </si>
  <si>
    <t xml:space="preserve">Revenue projection </t>
  </si>
  <si>
    <t xml:space="preserve">Cost </t>
  </si>
  <si>
    <t>Employes</t>
  </si>
  <si>
    <t xml:space="preserve">Marketing </t>
  </si>
  <si>
    <t>Financing Payment</t>
  </si>
  <si>
    <t>Financial metrics</t>
  </si>
  <si>
    <t>Scenario 1</t>
  </si>
  <si>
    <t>NPV</t>
  </si>
  <si>
    <t>IRR</t>
  </si>
  <si>
    <t>Payback Period</t>
  </si>
  <si>
    <t>3 years</t>
  </si>
  <si>
    <t>ROI</t>
  </si>
  <si>
    <t>Opportuinty Cost</t>
  </si>
  <si>
    <t>Conclusion</t>
  </si>
  <si>
    <t>Scenario 1 generates negative NPV and IRR below the discount rate, indicating that the factory expansion project is not financially viable under current assumptions.</t>
  </si>
  <si>
    <t>Scenario 2 generates positive NPV (€4.26M) and IRR of 35%, significantly exceeding the 10% discount rate.</t>
  </si>
  <si>
    <t>Scenario 2 — the digital product and marketing strategy — is the financially preferable investment option.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</si>
</sst>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&quot;$&quot;* #,##0.00_);_(&quot;$&quot;* \(#,##0.00\);_(&quot;$&quot;* &quot;-&quot;??_);_(@_)"/>
    <numFmt numFmtId="165" formatCode="_(* #,##0_);_(* \(#,##0\);_(* &quot;-&quot;_);_(@_)"/>
    <numFmt numFmtId="166" formatCode="[$€]#,##0.00"/>
    <numFmt numFmtId="167" formatCode="yyyy&quot;--&quot;"/>
    <numFmt numFmtId="168" formatCode="&quot;€&quot;#,##0"/>
    <numFmt numFmtId="169" formatCode="&quot;$&quot;#,##0.00"/>
  </numFmts>
  <fonts count="15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1.0"/>
      <color rgb="FF000000"/>
      <name val="Calibri"/>
    </font>
    <font>
      <sz val="10.0"/>
      <color theme="1"/>
      <name val="Arial"/>
    </font>
    <font>
      <b/>
      <sz val="11.0"/>
      <color rgb="FF000000"/>
      <name val="Calibri"/>
    </font>
    <font>
      <i/>
      <sz val="10.0"/>
      <color theme="1"/>
      <name val="Arial"/>
    </font>
    <font>
      <sz val="10.0"/>
      <color theme="1"/>
      <name val="Times New Roman"/>
    </font>
    <font>
      <b/>
      <sz val="10.0"/>
      <color theme="1"/>
      <name val="Times New Roman"/>
    </font>
    <font>
      <i/>
      <sz val="10.0"/>
      <color rgb="FF000000"/>
      <name val="Times New Roman"/>
    </font>
    <font>
      <color theme="1"/>
      <name val="Arial"/>
      <scheme val="minor"/>
    </font>
    <font>
      <b/>
      <color theme="1"/>
      <name val="Arial"/>
      <scheme val="minor"/>
    </font>
    <font>
      <u/>
      <sz val="10.0"/>
      <color rgb="FF000000"/>
      <name val="Arial"/>
    </font>
    <font>
      <sz val="10.0"/>
      <color rgb="FF000000"/>
      <name val="Arial"/>
    </font>
    <font>
      <b/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9">
    <border/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top style="medium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double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left" vertical="center"/>
    </xf>
    <xf borderId="6" fillId="0" fontId="4" numFmtId="4" xfId="0" applyBorder="1" applyFont="1" applyNumberFormat="1"/>
    <xf borderId="8" fillId="0" fontId="4" numFmtId="4" xfId="0" applyBorder="1" applyFont="1" applyNumberFormat="1"/>
    <xf borderId="7" fillId="0" fontId="5" numFmtId="0" xfId="0" applyAlignment="1" applyBorder="1" applyFont="1">
      <alignment vertical="center"/>
    </xf>
    <xf borderId="6" fillId="0" fontId="1" numFmtId="4" xfId="0" applyBorder="1" applyFont="1" applyNumberFormat="1"/>
    <xf borderId="8" fillId="0" fontId="1" numFmtId="4" xfId="0" applyBorder="1" applyFont="1" applyNumberFormat="1"/>
    <xf borderId="9" fillId="0" fontId="5" numFmtId="0" xfId="0" applyAlignment="1" applyBorder="1" applyFont="1">
      <alignment vertical="center"/>
    </xf>
    <xf borderId="10" fillId="0" fontId="1" numFmtId="4" xfId="0" applyBorder="1" applyFont="1" applyNumberFormat="1"/>
    <xf borderId="11" fillId="0" fontId="1" numFmtId="4" xfId="0" applyBorder="1" applyFont="1" applyNumberFormat="1"/>
    <xf borderId="11" fillId="0" fontId="4" numFmtId="4" xfId="0" applyBorder="1" applyFont="1" applyNumberFormat="1"/>
    <xf borderId="12" fillId="0" fontId="5" numFmtId="0" xfId="0" applyAlignment="1" applyBorder="1" applyFont="1">
      <alignment vertical="center"/>
    </xf>
    <xf borderId="13" fillId="0" fontId="1" numFmtId="4" xfId="0" applyBorder="1" applyFont="1" applyNumberFormat="1"/>
    <xf borderId="14" fillId="0" fontId="1" numFmtId="4" xfId="0" applyBorder="1" applyFont="1" applyNumberFormat="1"/>
    <xf borderId="15" fillId="0" fontId="1" numFmtId="4" xfId="0" applyBorder="1" applyFont="1" applyNumberFormat="1"/>
    <xf borderId="0" fillId="0" fontId="4" numFmtId="4" xfId="0" applyFont="1" applyNumberFormat="1"/>
    <xf borderId="0" fillId="0" fontId="6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7" numFmtId="0" xfId="0" applyFont="1"/>
    <xf borderId="0" fillId="0" fontId="7" numFmtId="164" xfId="0" applyFont="1" applyNumberFormat="1"/>
    <xf borderId="16" fillId="0" fontId="8" numFmtId="0" xfId="0" applyAlignment="1" applyBorder="1" applyFont="1">
      <alignment horizontal="center" readingOrder="0"/>
    </xf>
    <xf borderId="16" fillId="0" fontId="2" numFmtId="0" xfId="0" applyBorder="1" applyFont="1"/>
    <xf borderId="0" fillId="0" fontId="7" numFmtId="0" xfId="0" applyAlignment="1" applyFont="1">
      <alignment horizontal="center" shrinkToFit="0" vertical="center" wrapText="1"/>
    </xf>
    <xf borderId="17" fillId="0" fontId="7" numFmtId="0" xfId="0" applyAlignment="1" applyBorder="1" applyFont="1">
      <alignment horizontal="center" shrinkToFit="0" vertical="center" wrapText="1"/>
    </xf>
    <xf borderId="17" fillId="0" fontId="7" numFmtId="164" xfId="0" applyAlignment="1" applyBorder="1" applyFont="1" applyNumberFormat="1">
      <alignment horizontal="center" shrinkToFit="0" vertical="center" wrapText="1"/>
    </xf>
    <xf borderId="18" fillId="0" fontId="2" numFmtId="0" xfId="0" applyBorder="1" applyFont="1"/>
    <xf borderId="0" fillId="0" fontId="8" numFmtId="0" xfId="0" applyFont="1"/>
    <xf borderId="0" fillId="0" fontId="8" numFmtId="0" xfId="0" applyAlignment="1" applyFont="1">
      <alignment horizontal="left"/>
    </xf>
    <xf borderId="0" fillId="0" fontId="8" numFmtId="164" xfId="0" applyAlignment="1" applyFont="1" applyNumberFormat="1">
      <alignment horizontal="right"/>
    </xf>
    <xf borderId="0" fillId="0" fontId="8" numFmtId="0" xfId="0" applyAlignment="1" applyFont="1">
      <alignment readingOrder="0"/>
    </xf>
    <xf borderId="0" fillId="0" fontId="7" numFmtId="10" xfId="0" applyFont="1" applyNumberFormat="1"/>
    <xf borderId="0" fillId="0" fontId="9" numFmtId="0" xfId="0" applyAlignment="1" applyFont="1">
      <alignment shrinkToFit="0" vertical="center" wrapText="1"/>
    </xf>
    <xf borderId="0" fillId="0" fontId="7" numFmtId="164" xfId="0" applyAlignment="1" applyFont="1" applyNumberFormat="1">
      <alignment shrinkToFit="0" vertical="center" wrapText="1"/>
    </xf>
    <xf borderId="0" fillId="0" fontId="4" numFmtId="164" xfId="0" applyFont="1" applyNumberFormat="1"/>
    <xf borderId="0" fillId="0" fontId="4" numFmtId="164" xfId="0" applyAlignment="1" applyFont="1" applyNumberFormat="1">
      <alignment shrinkToFit="0" vertical="center" wrapText="1"/>
    </xf>
    <xf borderId="0" fillId="0" fontId="8" numFmtId="164" xfId="0" applyFont="1" applyNumberFormat="1"/>
    <xf borderId="0" fillId="0" fontId="7" numFmtId="0" xfId="0" applyAlignment="1" applyFont="1">
      <alignment horizontal="left"/>
    </xf>
    <xf borderId="0" fillId="0" fontId="7" numFmtId="0" xfId="0" applyAlignment="1" applyFont="1">
      <alignment readingOrder="0"/>
    </xf>
    <xf borderId="0" fillId="0" fontId="10" numFmtId="0" xfId="0" applyFont="1"/>
    <xf borderId="0" fillId="0" fontId="9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4" numFmtId="9" xfId="0" applyAlignment="1" applyFont="1" applyNumberFormat="1">
      <alignment readingOrder="0"/>
    </xf>
    <xf borderId="0" fillId="0" fontId="8" numFmtId="0" xfId="0" applyAlignment="1" applyFont="1">
      <alignment horizontal="left" readingOrder="0"/>
    </xf>
    <xf borderId="0" fillId="0" fontId="7" numFmtId="165" xfId="0" applyFont="1" applyNumberFormat="1"/>
    <xf borderId="0" fillId="0" fontId="10" numFmtId="164" xfId="0" applyFont="1" applyNumberFormat="1"/>
    <xf borderId="6" fillId="0" fontId="1" numFmtId="0" xfId="0" applyAlignment="1" applyBorder="1" applyFont="1">
      <alignment shrinkToFit="0" wrapText="1"/>
    </xf>
    <xf borderId="7" fillId="0" fontId="4" numFmtId="0" xfId="0" applyBorder="1" applyFont="1"/>
    <xf borderId="6" fillId="0" fontId="4" numFmtId="3" xfId="0" applyBorder="1" applyFont="1" applyNumberFormat="1"/>
    <xf borderId="7" fillId="0" fontId="4" numFmtId="0" xfId="0" applyAlignment="1" applyBorder="1" applyFont="1">
      <alignment horizontal="left"/>
    </xf>
    <xf borderId="19" fillId="0" fontId="4" numFmtId="0" xfId="0" applyAlignment="1" applyBorder="1" applyFont="1">
      <alignment horizontal="left"/>
    </xf>
    <xf borderId="20" fillId="0" fontId="4" numFmtId="3" xfId="0" applyBorder="1" applyFont="1" applyNumberFormat="1"/>
    <xf borderId="21" fillId="0" fontId="4" numFmtId="0" xfId="0" applyAlignment="1" applyBorder="1" applyFont="1">
      <alignment horizontal="left"/>
    </xf>
    <xf borderId="22" fillId="0" fontId="4" numFmtId="3" xfId="0" applyBorder="1" applyFont="1" applyNumberFormat="1"/>
    <xf borderId="23" fillId="0" fontId="4" numFmtId="0" xfId="0" applyAlignment="1" applyBorder="1" applyFont="1">
      <alignment horizontal="left"/>
    </xf>
    <xf borderId="24" fillId="0" fontId="4" numFmtId="3" xfId="0" applyBorder="1" applyFont="1" applyNumberFormat="1"/>
    <xf borderId="7" fillId="0" fontId="4" numFmtId="0" xfId="0" applyAlignment="1" applyBorder="1" applyFont="1">
      <alignment horizontal="left" readingOrder="0"/>
    </xf>
    <xf borderId="19" fillId="0" fontId="4" numFmtId="0" xfId="0" applyAlignment="1" applyBorder="1" applyFont="1">
      <alignment horizontal="left" readingOrder="0"/>
    </xf>
    <xf borderId="25" fillId="0" fontId="4" numFmtId="0" xfId="0" applyAlignment="1" applyBorder="1" applyFont="1">
      <alignment horizontal="left"/>
    </xf>
    <xf borderId="26" fillId="0" fontId="4" numFmtId="3" xfId="0" applyBorder="1" applyFont="1" applyNumberFormat="1"/>
    <xf borderId="12" fillId="0" fontId="1" numFmtId="0" xfId="0" applyBorder="1" applyFont="1"/>
    <xf borderId="14" fillId="0" fontId="1" numFmtId="3" xfId="0" applyBorder="1" applyFont="1" applyNumberFormat="1"/>
    <xf borderId="0" fillId="0" fontId="4" numFmtId="3" xfId="0" applyFont="1" applyNumberFormat="1"/>
    <xf borderId="27" fillId="0" fontId="4" numFmtId="0" xfId="0" applyBorder="1" applyFont="1"/>
    <xf borderId="28" fillId="0" fontId="4" numFmtId="3" xfId="0" applyBorder="1" applyFont="1" applyNumberFormat="1"/>
    <xf borderId="23" fillId="0" fontId="4" numFmtId="0" xfId="0" applyAlignment="1" applyBorder="1" applyFont="1">
      <alignment horizontal="left" readingOrder="0"/>
    </xf>
    <xf borderId="24" fillId="0" fontId="4" numFmtId="3" xfId="0" applyAlignment="1" applyBorder="1" applyFont="1" applyNumberFormat="1">
      <alignment readingOrder="0"/>
    </xf>
    <xf borderId="0" fillId="0" fontId="4" numFmtId="0" xfId="0" applyAlignment="1" applyFont="1">
      <alignment horizontal="right"/>
    </xf>
    <xf borderId="7" fillId="0" fontId="12" numFmtId="0" xfId="0" applyAlignment="1" applyBorder="1" applyFont="1">
      <alignment shrinkToFit="0" vertical="center" wrapText="1"/>
    </xf>
    <xf borderId="6" fillId="0" fontId="4" numFmtId="3" xfId="0" applyAlignment="1" applyBorder="1" applyFont="1" applyNumberFormat="1">
      <alignment shrinkToFit="0" vertical="center" wrapText="1"/>
    </xf>
    <xf borderId="7" fillId="0" fontId="13" numFmtId="0" xfId="0" applyAlignment="1" applyBorder="1" applyFont="1">
      <alignment shrinkToFit="0" vertical="center" wrapText="1"/>
    </xf>
    <xf borderId="7" fillId="0" fontId="14" numFmtId="0" xfId="0" applyAlignment="1" applyBorder="1" applyFont="1">
      <alignment shrinkToFit="0" vertical="center" wrapText="1"/>
    </xf>
    <xf borderId="6" fillId="0" fontId="1" numFmtId="3" xfId="0" applyAlignment="1" applyBorder="1" applyFont="1" applyNumberFormat="1">
      <alignment shrinkToFit="0" vertical="center" wrapText="1"/>
    </xf>
    <xf borderId="7" fillId="0" fontId="4" numFmtId="0" xfId="0" applyAlignment="1" applyBorder="1" applyFont="1">
      <alignment shrinkToFit="0" vertical="center" wrapText="1"/>
    </xf>
    <xf borderId="12" fillId="0" fontId="13" numFmtId="0" xfId="0" applyAlignment="1" applyBorder="1" applyFont="1">
      <alignment shrinkToFit="0" vertical="center" wrapText="1"/>
    </xf>
    <xf borderId="14" fillId="0" fontId="1" numFmtId="3" xfId="0" applyAlignment="1" applyBorder="1" applyFont="1" applyNumberFormat="1">
      <alignment shrinkToFit="0" vertical="center" wrapText="1"/>
    </xf>
    <xf borderId="0" fillId="0" fontId="4" numFmtId="166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0" fillId="0" fontId="11" numFmtId="49" xfId="0" applyAlignment="1" applyFont="1" applyNumberFormat="1">
      <alignment horizontal="center" readingOrder="0" shrinkToFit="0" vertical="center" wrapText="0"/>
    </xf>
    <xf borderId="0" fillId="0" fontId="10" numFmtId="10" xfId="0" applyAlignment="1" applyFont="1" applyNumberFormat="1">
      <alignment readingOrder="0"/>
    </xf>
    <xf borderId="0" fillId="0" fontId="10" numFmtId="167" xfId="0" applyAlignment="1" applyFont="1" applyNumberFormat="1">
      <alignment readingOrder="0" shrinkToFit="0" vertical="center" wrapText="0"/>
    </xf>
    <xf borderId="0" fillId="0" fontId="10" numFmtId="166" xfId="0" applyAlignment="1" applyFont="1" applyNumberFormat="1">
      <alignment readingOrder="0" shrinkToFit="0" vertical="center" wrapText="0"/>
    </xf>
    <xf borderId="0" fillId="0" fontId="10" numFmtId="166" xfId="0" applyAlignment="1" applyFont="1" applyNumberFormat="1">
      <alignment shrinkToFit="0" vertical="center" wrapText="0"/>
    </xf>
    <xf borderId="0" fillId="0" fontId="10" numFmtId="166" xfId="0" applyAlignment="1" applyFont="1" applyNumberForma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168" xfId="0" applyAlignment="1" applyFont="1" applyNumberFormat="1">
      <alignment readingOrder="0"/>
    </xf>
    <xf borderId="0" fillId="0" fontId="10" numFmtId="9" xfId="0" applyAlignment="1" applyFont="1" applyNumberFormat="1">
      <alignment readingOrder="0"/>
    </xf>
    <xf borderId="0" fillId="0" fontId="10" numFmtId="0" xfId="0" applyAlignment="1" applyFont="1">
      <alignment readingOrder="0" shrinkToFit="0" vertical="center" wrapText="0"/>
    </xf>
    <xf borderId="0" fillId="0" fontId="10" numFmtId="166" xfId="0" applyFont="1" applyNumberFormat="1"/>
    <xf borderId="0" fillId="0" fontId="10" numFmtId="166" xfId="0" applyAlignment="1" applyFont="1" applyNumberFormat="1">
      <alignment readingOrder="0"/>
    </xf>
    <xf borderId="0" fillId="0" fontId="10" numFmtId="168" xfId="0" applyFont="1" applyNumberFormat="1"/>
    <xf borderId="0" fillId="0" fontId="10" numFmtId="166" xfId="0" applyFont="1" applyNumberFormat="1"/>
    <xf borderId="0" fillId="0" fontId="10" numFmtId="0" xfId="0" applyAlignment="1" applyFont="1">
      <alignment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169" xfId="0" applyAlignment="1" applyFont="1" applyNumberFormat="1">
      <alignment shrinkToFit="0" vertical="center" wrapText="0"/>
    </xf>
    <xf borderId="0" fillId="0" fontId="10" numFmtId="166" xfId="0" applyAlignment="1" applyFont="1" applyNumberFormat="1">
      <alignment shrinkToFit="0" vertical="center" wrapText="0"/>
    </xf>
    <xf borderId="0" fillId="0" fontId="10" numFmtId="9" xfId="0" applyAlignment="1" applyFont="1" applyNumberFormat="1">
      <alignment readingOrder="0" shrinkToFit="0" vertical="center" wrapText="0"/>
    </xf>
    <xf borderId="0" fillId="0" fontId="10" numFmtId="9" xfId="0" applyAlignment="1" applyFont="1" applyNumberFormat="1">
      <alignment shrinkToFit="0" vertical="center" wrapText="0"/>
    </xf>
    <xf borderId="0" fillId="0" fontId="10" numFmtId="0" xfId="0" applyFont="1"/>
  </cellXfs>
  <cellStyles count="1">
    <cellStyle xfId="0" name="Normal" builtinId="0"/>
  </cellStyles>
  <dxfs count="6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Task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Task-style 2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Task-style 3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34</xdr:row>
      <xdr:rowOff>161925</xdr:rowOff>
    </xdr:from>
    <xdr:ext cx="866775" cy="390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876800" cy="547687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</xdr:row>
      <xdr:rowOff>0</xdr:rowOff>
    </xdr:from>
    <xdr:ext cx="4876800" cy="515302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E4:N15" displayName="Scenario_1" name="Scenario_1" id="1">
  <tableColumns count="10">
    <tableColumn name="Year" id="1"/>
    <tableColumn name="Revenue" id="2"/>
    <tableColumn name="Increment " id="3"/>
    <tableColumn name="Marketing" id="4"/>
    <tableColumn name="Salary" id="5"/>
    <tableColumn name="material" id="6"/>
    <tableColumn name="Initial Investment" id="7"/>
    <tableColumn name="Financing Payments" id="8"/>
    <tableColumn name="Cumilative" id="9"/>
    <tableColumn name="Net Cash Flow" id="10"/>
  </tableColumns>
  <tableStyleInfo name="Task-style" showColumnStripes="0" showFirstColumn="1" showLastColumn="1" showRowStripes="1"/>
</table>
</file>

<file path=xl/tables/table2.xml><?xml version="1.0" encoding="utf-8"?>
<table xmlns="http://schemas.openxmlformats.org/spreadsheetml/2006/main" ref="E25:N36" displayName="Scenario_2" name="Scenario_2" id="2">
  <tableColumns count="10">
    <tableColumn name="Year" id="1"/>
    <tableColumn name="Revenue" id="2"/>
    <tableColumn name="Increment " id="3"/>
    <tableColumn name="Marketing" id="4"/>
    <tableColumn name="Salary" id="5"/>
    <tableColumn name="material" id="6"/>
    <tableColumn name="Initial Investment" id="7"/>
    <tableColumn name="Financing Payment" id="8"/>
    <tableColumn name="Cumilative" id="9"/>
    <tableColumn name="Net Cash Flow" id="10"/>
  </tableColumns>
  <tableStyleInfo name="Task-style 2" showColumnStripes="0" showFirstColumn="1" showLastColumn="1" showRowStripes="1"/>
</table>
</file>

<file path=xl/tables/table3.xml><?xml version="1.0" encoding="utf-8"?>
<table xmlns="http://schemas.openxmlformats.org/spreadsheetml/2006/main" ref="A27:C32" displayName="Metrics" name="Metrics" id="3">
  <tableColumns count="3">
    <tableColumn name="Financial metrics" id="1"/>
    <tableColumn name="Scenario 1" id="2"/>
    <tableColumn name="Scenario 2" id="3"/>
  </tableColumns>
  <tableStyleInfo name="Task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8.63"/>
    <col customWidth="1" min="3" max="8" width="13.38"/>
  </cols>
  <sheetData>
    <row r="1" ht="12.75" customHeight="1"/>
    <row r="2" ht="12.75" customHeight="1">
      <c r="D2" s="1" t="s">
        <v>0</v>
      </c>
      <c r="E2" s="1"/>
      <c r="G2" s="1" t="s">
        <v>1</v>
      </c>
    </row>
    <row r="3" ht="12.75" customHeight="1">
      <c r="B3" s="2" t="s">
        <v>2</v>
      </c>
      <c r="C3" s="3" t="s">
        <v>3</v>
      </c>
      <c r="D3" s="4"/>
      <c r="E3" s="5"/>
      <c r="F3" s="3" t="s">
        <v>3</v>
      </c>
      <c r="G3" s="4"/>
      <c r="H3" s="5"/>
    </row>
    <row r="4" ht="12.75" customHeight="1">
      <c r="B4" s="6"/>
      <c r="C4" s="7" t="s">
        <v>4</v>
      </c>
      <c r="D4" s="7">
        <v>2018.0</v>
      </c>
      <c r="E4" s="7">
        <v>2019.0</v>
      </c>
      <c r="F4" s="7" t="s">
        <v>4</v>
      </c>
      <c r="G4" s="7">
        <v>2018.0</v>
      </c>
      <c r="H4" s="7">
        <v>2019.0</v>
      </c>
    </row>
    <row r="5" ht="12.75" customHeight="1">
      <c r="B5" s="8" t="s">
        <v>5</v>
      </c>
      <c r="C5" s="9">
        <v>1528273.201112141</v>
      </c>
      <c r="D5" s="9">
        <f>C5*0.4</f>
        <v>611309.2804</v>
      </c>
      <c r="E5" s="9">
        <f>C5*0.6</f>
        <v>916963.9207</v>
      </c>
      <c r="F5" s="9">
        <v>0.0</v>
      </c>
      <c r="G5" s="9">
        <f>F5*0.4</f>
        <v>0</v>
      </c>
      <c r="H5" s="10">
        <f>F5*0.6</f>
        <v>0</v>
      </c>
    </row>
    <row r="6" ht="12.75" customHeight="1">
      <c r="B6" s="8" t="s">
        <v>6</v>
      </c>
      <c r="C6" s="9">
        <v>3000000.0</v>
      </c>
      <c r="D6" s="9"/>
      <c r="E6" s="9">
        <f>C6</f>
        <v>3000000</v>
      </c>
      <c r="F6" s="9"/>
      <c r="G6" s="9"/>
      <c r="H6" s="10"/>
    </row>
    <row r="7" ht="12.75" customHeight="1">
      <c r="B7" s="8" t="s">
        <v>7</v>
      </c>
      <c r="C7" s="9">
        <v>140000.0</v>
      </c>
      <c r="D7" s="9">
        <f>C7*0.4</f>
        <v>56000</v>
      </c>
      <c r="E7" s="9">
        <f>C7*0.6</f>
        <v>84000</v>
      </c>
      <c r="F7" s="9">
        <v>0.0</v>
      </c>
      <c r="G7" s="9">
        <f>F7*0.4</f>
        <v>0</v>
      </c>
      <c r="H7" s="10">
        <f>F7*0.6</f>
        <v>0</v>
      </c>
    </row>
    <row r="8" ht="12.75" customHeight="1">
      <c r="B8" s="8" t="s">
        <v>8</v>
      </c>
      <c r="C8" s="9">
        <v>750000.0</v>
      </c>
      <c r="D8" s="9">
        <f>C8*0.5</f>
        <v>375000</v>
      </c>
      <c r="E8" s="9">
        <f>D8</f>
        <v>375000</v>
      </c>
      <c r="F8" s="9">
        <v>8000000.0</v>
      </c>
      <c r="G8" s="9">
        <f>F8*0.5</f>
        <v>4000000</v>
      </c>
      <c r="H8" s="10">
        <f>G8</f>
        <v>4000000</v>
      </c>
    </row>
    <row r="9" ht="12.75" customHeight="1">
      <c r="B9" s="11" t="s">
        <v>9</v>
      </c>
      <c r="C9" s="12">
        <f t="shared" ref="C9:H9" si="1">SUM(C5:C8)</f>
        <v>5418273.201</v>
      </c>
      <c r="D9" s="12">
        <f t="shared" si="1"/>
        <v>1042309.28</v>
      </c>
      <c r="E9" s="12">
        <f t="shared" si="1"/>
        <v>4375963.921</v>
      </c>
      <c r="F9" s="12">
        <f t="shared" si="1"/>
        <v>8000000</v>
      </c>
      <c r="G9" s="12">
        <f t="shared" si="1"/>
        <v>4000000</v>
      </c>
      <c r="H9" s="13">
        <f t="shared" si="1"/>
        <v>4000000</v>
      </c>
    </row>
    <row r="10" ht="8.25" customHeight="1">
      <c r="B10" s="14"/>
      <c r="C10" s="15"/>
      <c r="D10" s="15"/>
      <c r="E10" s="16"/>
      <c r="F10" s="12"/>
      <c r="G10" s="12"/>
      <c r="H10" s="13"/>
    </row>
    <row r="11" ht="12.75" customHeight="1">
      <c r="B11" s="8" t="s">
        <v>10</v>
      </c>
      <c r="C11" s="17">
        <v>1200000.0</v>
      </c>
      <c r="D11" s="9">
        <f>C11-E11</f>
        <v>500000</v>
      </c>
      <c r="E11" s="9">
        <v>700000.0</v>
      </c>
      <c r="F11" s="9">
        <v>0.0</v>
      </c>
      <c r="G11" s="9">
        <v>0.0</v>
      </c>
      <c r="H11" s="10">
        <v>0.0</v>
      </c>
    </row>
    <row r="12" ht="12.75" customHeight="1">
      <c r="B12" s="8" t="s">
        <v>11</v>
      </c>
      <c r="C12" s="17">
        <f t="shared" ref="C12:H12" si="2">C9-C11-C13</f>
        <v>2718273.201</v>
      </c>
      <c r="D12" s="9">
        <f t="shared" si="2"/>
        <v>92309.28044</v>
      </c>
      <c r="E12" s="9">
        <f t="shared" si="2"/>
        <v>2625963.921</v>
      </c>
      <c r="F12" s="9">
        <f t="shared" si="2"/>
        <v>8000000</v>
      </c>
      <c r="G12" s="9">
        <f t="shared" si="2"/>
        <v>4000000</v>
      </c>
      <c r="H12" s="10">
        <f t="shared" si="2"/>
        <v>4000000</v>
      </c>
    </row>
    <row r="13" ht="12.75" customHeight="1">
      <c r="B13" s="8" t="s">
        <v>12</v>
      </c>
      <c r="C13" s="17">
        <v>1500000.0</v>
      </c>
      <c r="D13" s="9">
        <f>C13*0.3</f>
        <v>450000</v>
      </c>
      <c r="E13" s="9">
        <f>C13-D13</f>
        <v>1050000</v>
      </c>
      <c r="F13" s="9">
        <v>0.0</v>
      </c>
      <c r="G13" s="9">
        <f>F13*0.4</f>
        <v>0</v>
      </c>
      <c r="H13" s="10">
        <f>F13*0.6</f>
        <v>0</v>
      </c>
    </row>
    <row r="14" ht="12.75" customHeight="1">
      <c r="B14" s="18" t="s">
        <v>13</v>
      </c>
      <c r="C14" s="19">
        <f t="shared" ref="C14:H14" si="3">SUM(C11:C13)</f>
        <v>5418273.201</v>
      </c>
      <c r="D14" s="19">
        <f t="shared" si="3"/>
        <v>1042309.28</v>
      </c>
      <c r="E14" s="19">
        <f t="shared" si="3"/>
        <v>4375963.921</v>
      </c>
      <c r="F14" s="20">
        <f t="shared" si="3"/>
        <v>8000000</v>
      </c>
      <c r="G14" s="20">
        <f t="shared" si="3"/>
        <v>4000000</v>
      </c>
      <c r="H14" s="21">
        <f t="shared" si="3"/>
        <v>4000000</v>
      </c>
    </row>
    <row r="15" ht="12.75" customHeight="1">
      <c r="C15" s="22">
        <f t="shared" ref="C15:H15" si="4">C14-C9</f>
        <v>0</v>
      </c>
      <c r="D15" s="22">
        <f t="shared" si="4"/>
        <v>0</v>
      </c>
      <c r="E15" s="22">
        <f t="shared" si="4"/>
        <v>0</v>
      </c>
      <c r="F15" s="22">
        <f t="shared" si="4"/>
        <v>0</v>
      </c>
      <c r="G15" s="22">
        <f t="shared" si="4"/>
        <v>0</v>
      </c>
      <c r="H15" s="22">
        <f t="shared" si="4"/>
        <v>0</v>
      </c>
    </row>
    <row r="16" ht="12.75" customHeight="1"/>
    <row r="17" ht="12.75" customHeight="1">
      <c r="B17" s="1" t="s">
        <v>14</v>
      </c>
    </row>
    <row r="18" ht="12.75" customHeight="1">
      <c r="B18" s="23" t="s">
        <v>15</v>
      </c>
    </row>
    <row r="19" ht="12.75" customHeight="1">
      <c r="B19" s="24" t="s">
        <v>16</v>
      </c>
    </row>
    <row r="20" ht="12.75" customHeight="1">
      <c r="B20" s="24" t="s">
        <v>17</v>
      </c>
    </row>
    <row r="21" ht="12.75" customHeight="1"/>
    <row r="22" ht="12.75" customHeight="1">
      <c r="B22" s="23" t="s">
        <v>18</v>
      </c>
    </row>
    <row r="23" ht="12.75" customHeight="1">
      <c r="B23" s="24" t="s">
        <v>19</v>
      </c>
    </row>
    <row r="24" ht="12.75" customHeight="1">
      <c r="B24" s="25" t="s">
        <v>20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3:E3"/>
    <mergeCell ref="F3:H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0"/>
  <cols>
    <col customWidth="1" min="1" max="1" width="2.75"/>
    <col customWidth="1" min="2" max="2" width="5.88"/>
    <col customWidth="1" min="3" max="3" width="43.13"/>
    <col customWidth="1" min="4" max="5" width="11.13"/>
    <col customWidth="1" min="6" max="6" width="11.0"/>
    <col customWidth="1" min="7" max="7" width="23.88"/>
    <col customWidth="1" min="8" max="25" width="11.0"/>
  </cols>
  <sheetData>
    <row r="1" ht="13.5" customHeight="1">
      <c r="A1" s="26"/>
      <c r="B1" s="26"/>
      <c r="C1" s="26"/>
      <c r="D1" s="27"/>
      <c r="E1" s="27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 ht="12.75" customHeight="1">
      <c r="A2" s="24"/>
      <c r="B2" s="24"/>
      <c r="C2" s="28" t="s">
        <v>21</v>
      </c>
      <c r="D2" s="29"/>
      <c r="E2" s="29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ht="12.75" customHeight="1">
      <c r="A3" s="24"/>
      <c r="B3" s="30"/>
      <c r="C3" s="31" t="s">
        <v>22</v>
      </c>
      <c r="D3" s="32">
        <v>2016.0</v>
      </c>
      <c r="E3" s="32">
        <v>2017.0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ht="29.25" customHeight="1">
      <c r="A4" s="24"/>
      <c r="D4" s="33"/>
      <c r="E4" s="33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 ht="17.25" customHeight="1">
      <c r="A5" s="34"/>
      <c r="B5" s="35" t="s">
        <v>23</v>
      </c>
      <c r="C5" s="35" t="s">
        <v>24</v>
      </c>
      <c r="D5" s="36">
        <v>2714177.4791473583</v>
      </c>
      <c r="E5" s="36">
        <v>4414253.649212234</v>
      </c>
      <c r="F5" s="34"/>
      <c r="G5" s="37" t="s">
        <v>25</v>
      </c>
      <c r="H5" s="38">
        <f>(E5-D5)/D5</f>
        <v>0.6263688293</v>
      </c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</row>
    <row r="6" ht="17.25" customHeight="1">
      <c r="A6" s="34"/>
      <c r="B6" s="35" t="s">
        <v>26</v>
      </c>
      <c r="C6" s="35" t="s">
        <v>27</v>
      </c>
      <c r="D6" s="36">
        <v>998289.5375347545</v>
      </c>
      <c r="E6" s="36">
        <v>1121942.481464319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</row>
    <row r="7" ht="12.75" customHeight="1">
      <c r="A7" s="24"/>
      <c r="B7" s="24"/>
      <c r="C7" s="39" t="s">
        <v>28</v>
      </c>
      <c r="D7" s="40">
        <v>0.0</v>
      </c>
      <c r="E7" s="40">
        <v>0.0</v>
      </c>
      <c r="F7" s="24"/>
      <c r="G7" s="24"/>
      <c r="H7" s="24"/>
      <c r="I7" s="24"/>
      <c r="J7" s="24"/>
      <c r="K7" s="25" t="s">
        <v>29</v>
      </c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ht="12.75" customHeight="1">
      <c r="A8" s="24"/>
      <c r="B8" s="24"/>
      <c r="C8" s="39" t="s">
        <v>30</v>
      </c>
      <c r="D8" s="40">
        <v>992551.5523632994</v>
      </c>
      <c r="E8" s="40">
        <v>1076892.6668211308</v>
      </c>
      <c r="F8" s="41">
        <f>E8*1.24</f>
        <v>1335346.907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ht="12.75" customHeight="1">
      <c r="A9" s="24"/>
      <c r="B9" s="24"/>
      <c r="C9" s="39" t="s">
        <v>31</v>
      </c>
      <c r="D9" s="40"/>
      <c r="E9" s="40">
        <f>E8/E5</f>
        <v>0.2439580397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ht="12.75" customHeight="1">
      <c r="A10" s="24"/>
      <c r="B10" s="24"/>
      <c r="C10" s="39" t="s">
        <v>32</v>
      </c>
      <c r="D10" s="42"/>
      <c r="E10" s="42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ht="12.75" customHeight="1">
      <c r="A11" s="24"/>
      <c r="B11" s="24"/>
      <c r="C11" s="39" t="s">
        <v>33</v>
      </c>
      <c r="D11" s="40">
        <v>5737.985171455075</v>
      </c>
      <c r="E11" s="40">
        <v>45049.81464318815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ht="17.25" customHeight="1">
      <c r="A12" s="34"/>
      <c r="B12" s="35" t="s">
        <v>34</v>
      </c>
      <c r="C12" s="35" t="s">
        <v>35</v>
      </c>
      <c r="D12" s="43">
        <f t="shared" ref="D12:E12" si="1">SUM(D5-D6)</f>
        <v>1715887.942</v>
      </c>
      <c r="E12" s="43">
        <f t="shared" si="1"/>
        <v>3292311.168</v>
      </c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 ht="17.25" customHeight="1">
      <c r="A13" s="34"/>
      <c r="B13" s="35" t="s">
        <v>36</v>
      </c>
      <c r="C13" s="35" t="s">
        <v>37</v>
      </c>
      <c r="D13" s="36">
        <f t="shared" ref="D13:E13" si="2">SUM(D14,D19)</f>
        <v>1367820.069</v>
      </c>
      <c r="E13" s="36">
        <f t="shared" si="2"/>
        <v>2932586.307</v>
      </c>
      <c r="F13" s="34"/>
      <c r="G13" s="34"/>
      <c r="H13" s="34"/>
      <c r="I13" s="34"/>
      <c r="J13" s="34"/>
      <c r="K13" s="34"/>
      <c r="L13" s="34"/>
      <c r="M13" s="34">
        <f>(60-9)/23</f>
        <v>2.217391304</v>
      </c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 ht="17.25" customHeight="1">
      <c r="A14" s="26"/>
      <c r="B14" s="44" t="s">
        <v>38</v>
      </c>
      <c r="C14" s="44" t="s">
        <v>39</v>
      </c>
      <c r="D14" s="27">
        <v>726794.1960148286</v>
      </c>
      <c r="E14" s="27">
        <f>sum(E17:E18)</f>
        <v>534191.7178</v>
      </c>
      <c r="F14" s="45" t="s">
        <v>40</v>
      </c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</row>
    <row r="15" ht="12.75" customHeight="1">
      <c r="A15" s="24"/>
      <c r="B15" s="24"/>
      <c r="C15" s="39" t="s">
        <v>28</v>
      </c>
      <c r="D15" s="40"/>
      <c r="E15" s="40"/>
      <c r="F15" s="24"/>
      <c r="G15" s="24"/>
      <c r="H15" s="24"/>
      <c r="I15" s="24"/>
      <c r="J15" s="24"/>
      <c r="K15" s="24"/>
      <c r="L15" s="24"/>
      <c r="M15" s="25" t="s">
        <v>41</v>
      </c>
      <c r="N15" s="25" t="s">
        <v>42</v>
      </c>
      <c r="O15" s="24"/>
      <c r="P15" s="24"/>
      <c r="Q15" s="25"/>
      <c r="R15" s="24"/>
      <c r="S15" s="24"/>
      <c r="T15" s="24"/>
      <c r="U15" s="24"/>
      <c r="V15" s="24"/>
      <c r="W15" s="24"/>
      <c r="X15" s="24"/>
      <c r="Y15" s="24"/>
    </row>
    <row r="16" ht="12.75" customHeight="1">
      <c r="A16" s="24"/>
      <c r="B16" s="24"/>
      <c r="C16" s="39" t="s">
        <v>31</v>
      </c>
      <c r="D16" s="40"/>
      <c r="E16" s="40"/>
      <c r="F16" s="24"/>
      <c r="G16" s="25"/>
      <c r="H16" s="25"/>
      <c r="I16" s="25"/>
      <c r="J16" s="25"/>
      <c r="K16" s="25"/>
      <c r="L16" s="25">
        <v>201601.0</v>
      </c>
      <c r="M16" s="25">
        <v>9.0</v>
      </c>
      <c r="N16" s="46">
        <f>M16*1</f>
        <v>9</v>
      </c>
      <c r="O16" s="25">
        <v>12.0</v>
      </c>
      <c r="P16" s="25">
        <v>201701.0</v>
      </c>
      <c r="Q16" s="25">
        <f>sum(M16:M27)</f>
        <v>31.17391304</v>
      </c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ht="12.75" customHeight="1">
      <c r="A17" s="24"/>
      <c r="B17" s="24"/>
      <c r="C17" s="47" t="s">
        <v>43</v>
      </c>
      <c r="D17" s="40">
        <v>352544.0</v>
      </c>
      <c r="E17" s="40">
        <v>523344.0</v>
      </c>
      <c r="F17" s="24"/>
      <c r="G17" s="25"/>
      <c r="H17" s="24"/>
      <c r="I17" s="24"/>
      <c r="J17" s="24"/>
      <c r="K17" s="24"/>
      <c r="L17" s="25">
        <v>201602.0</v>
      </c>
      <c r="M17" s="24">
        <f t="shared" ref="M17:M19" si="3">$M$13*1</f>
        <v>2.217391304</v>
      </c>
      <c r="N17" s="24">
        <f>M17*11/12</f>
        <v>2.032608696</v>
      </c>
      <c r="O17" s="25">
        <v>11.0</v>
      </c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</row>
    <row r="18" ht="12.75" customHeight="1">
      <c r="A18" s="24"/>
      <c r="B18" s="24"/>
      <c r="C18" s="39" t="s">
        <v>33</v>
      </c>
      <c r="D18" s="40">
        <v>374250.19601482863</v>
      </c>
      <c r="E18" s="40">
        <v>10847.717794253938</v>
      </c>
      <c r="F18" s="24"/>
      <c r="G18" s="24"/>
      <c r="H18" s="24"/>
      <c r="I18" s="24"/>
      <c r="J18" s="24"/>
      <c r="K18" s="24"/>
      <c r="L18" s="25">
        <v>201603.0</v>
      </c>
      <c r="M18" s="24">
        <f t="shared" si="3"/>
        <v>2.217391304</v>
      </c>
      <c r="N18" s="24">
        <f>M18*10/12</f>
        <v>1.847826087</v>
      </c>
      <c r="O18" s="25">
        <v>10.0</v>
      </c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ht="17.25" customHeight="1">
      <c r="A19" s="26"/>
      <c r="B19" s="44" t="s">
        <v>44</v>
      </c>
      <c r="C19" s="44" t="s">
        <v>45</v>
      </c>
      <c r="D19" s="27">
        <f t="shared" ref="D19:E19" si="4">SUM(D20:D23)</f>
        <v>641025.873</v>
      </c>
      <c r="E19" s="27">
        <f t="shared" si="4"/>
        <v>2398394.589</v>
      </c>
      <c r="F19" s="26"/>
      <c r="G19" s="26"/>
      <c r="H19" s="26"/>
      <c r="I19" s="26"/>
      <c r="J19" s="26"/>
      <c r="K19" s="26"/>
      <c r="L19" s="25">
        <v>201604.0</v>
      </c>
      <c r="M19" s="24">
        <f t="shared" si="3"/>
        <v>2.217391304</v>
      </c>
      <c r="N19" s="26">
        <f>M19*O19/12</f>
        <v>1.663043478</v>
      </c>
      <c r="O19" s="25">
        <v>9.0</v>
      </c>
      <c r="P19" s="26"/>
      <c r="Q19" s="26"/>
      <c r="R19" s="26"/>
      <c r="S19" s="26"/>
      <c r="T19" s="26"/>
      <c r="U19" s="26"/>
      <c r="V19" s="26"/>
      <c r="W19" s="26"/>
      <c r="X19" s="26"/>
      <c r="Y19" s="26"/>
    </row>
    <row r="20" ht="12.75" customHeight="1">
      <c r="A20" s="24"/>
      <c r="B20" s="24"/>
      <c r="C20" s="39" t="s">
        <v>28</v>
      </c>
      <c r="D20" s="40">
        <v>140511.1793327155</v>
      </c>
      <c r="E20" s="40">
        <v>203121.8141797961</v>
      </c>
      <c r="F20" s="24"/>
      <c r="G20" s="25"/>
      <c r="H20" s="25"/>
      <c r="I20" s="24"/>
      <c r="J20" s="24"/>
      <c r="K20" s="24"/>
      <c r="L20" s="25">
        <v>201605.0</v>
      </c>
      <c r="N20" s="26">
        <f>M19*O20/12</f>
        <v>1.47826087</v>
      </c>
      <c r="O20" s="25">
        <v>8.0</v>
      </c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ht="12.75" customHeight="1">
      <c r="A21" s="24"/>
      <c r="B21" s="24"/>
      <c r="C21" s="39" t="s">
        <v>31</v>
      </c>
      <c r="D21" s="40">
        <v>499966.69369786844</v>
      </c>
      <c r="E21" s="40">
        <v>1368507.0088044486</v>
      </c>
      <c r="F21" s="24"/>
      <c r="G21" s="48" t="s">
        <v>46</v>
      </c>
      <c r="H21" s="41">
        <f>(D21+E21)/24</f>
        <v>77853.07094</v>
      </c>
      <c r="I21" s="24">
        <f>H21/34.5</f>
        <v>2256.610752</v>
      </c>
      <c r="J21" s="24"/>
      <c r="K21" s="24"/>
      <c r="L21" s="25">
        <v>201606.0</v>
      </c>
      <c r="M21" s="24">
        <f t="shared" ref="M21:M27" si="5">$M$13*1</f>
        <v>2.217391304</v>
      </c>
      <c r="N21" s="26">
        <f t="shared" ref="N21:N27" si="6">M21*O21/12</f>
        <v>1.293478261</v>
      </c>
      <c r="O21" s="25">
        <v>7.0</v>
      </c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ht="12.75" customHeight="1">
      <c r="A22" s="24"/>
      <c r="B22" s="24"/>
      <c r="C22" s="39" t="s">
        <v>47</v>
      </c>
      <c r="D22" s="40"/>
      <c r="E22" s="40"/>
      <c r="F22" s="24"/>
      <c r="G22" s="49" t="s">
        <v>48</v>
      </c>
      <c r="H22" s="50">
        <v>0.02</v>
      </c>
      <c r="I22" s="24"/>
      <c r="J22" s="24"/>
      <c r="K22" s="24"/>
      <c r="L22" s="25">
        <v>201607.0</v>
      </c>
      <c r="M22" s="24">
        <f t="shared" si="5"/>
        <v>2.217391304</v>
      </c>
      <c r="N22" s="26">
        <f t="shared" si="6"/>
        <v>1.108695652</v>
      </c>
      <c r="O22" s="25">
        <v>6.0</v>
      </c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ht="12.75" customHeight="1">
      <c r="A23" s="24"/>
      <c r="B23" s="24"/>
      <c r="C23" s="39" t="s">
        <v>33</v>
      </c>
      <c r="D23" s="40">
        <v>548.0000000001164</v>
      </c>
      <c r="E23" s="40">
        <v>826765.76598702</v>
      </c>
      <c r="F23" s="24"/>
      <c r="G23" s="48" t="s">
        <v>49</v>
      </c>
      <c r="H23" s="50">
        <v>0.1</v>
      </c>
      <c r="I23" s="25" t="s">
        <v>50</v>
      </c>
      <c r="J23" s="24"/>
      <c r="K23" s="24"/>
      <c r="L23" s="25">
        <v>201608.0</v>
      </c>
      <c r="M23" s="24">
        <f t="shared" si="5"/>
        <v>2.217391304</v>
      </c>
      <c r="N23" s="26">
        <f t="shared" si="6"/>
        <v>0.9239130435</v>
      </c>
      <c r="O23" s="25">
        <v>5.0</v>
      </c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ht="17.25" customHeight="1">
      <c r="A24" s="34"/>
      <c r="B24" s="35" t="s">
        <v>51</v>
      </c>
      <c r="C24" s="51" t="s">
        <v>52</v>
      </c>
      <c r="D24" s="43">
        <f t="shared" ref="D24:E24" si="7">SUM(D12-D13)</f>
        <v>348067.8726</v>
      </c>
      <c r="E24" s="43">
        <f t="shared" si="7"/>
        <v>359724.861</v>
      </c>
      <c r="F24" s="34"/>
      <c r="G24" s="37" t="s">
        <v>53</v>
      </c>
      <c r="H24" s="45">
        <v>5.0</v>
      </c>
      <c r="I24" s="37" t="s">
        <v>54</v>
      </c>
      <c r="J24" s="34"/>
      <c r="K24" s="34"/>
      <c r="L24" s="25">
        <v>201609.0</v>
      </c>
      <c r="M24" s="24">
        <f t="shared" si="5"/>
        <v>2.217391304</v>
      </c>
      <c r="N24" s="26">
        <f t="shared" si="6"/>
        <v>0.7391304348</v>
      </c>
      <c r="O24" s="25">
        <v>4.0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 ht="17.25" customHeight="1">
      <c r="A25" s="34"/>
      <c r="B25" s="35" t="s">
        <v>55</v>
      </c>
      <c r="C25" s="35" t="s">
        <v>56</v>
      </c>
      <c r="D25" s="36">
        <f t="shared" ref="D25:E25" si="8">SUM(D26-D27)</f>
        <v>4344.300278</v>
      </c>
      <c r="E25" s="36">
        <f t="shared" si="8"/>
        <v>89548.19277</v>
      </c>
      <c r="F25" s="34"/>
      <c r="G25" s="34"/>
      <c r="H25" s="34"/>
      <c r="I25" s="34"/>
      <c r="J25" s="34"/>
      <c r="K25" s="34"/>
      <c r="L25" s="25">
        <v>201610.0</v>
      </c>
      <c r="M25" s="24">
        <f t="shared" si="5"/>
        <v>2.217391304</v>
      </c>
      <c r="N25" s="26">
        <f t="shared" si="6"/>
        <v>0.5543478261</v>
      </c>
      <c r="O25" s="25">
        <v>3.0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 ht="17.25" customHeight="1">
      <c r="A26" s="26"/>
      <c r="B26" s="44" t="s">
        <v>57</v>
      </c>
      <c r="C26" s="44" t="s">
        <v>58</v>
      </c>
      <c r="D26" s="27">
        <f>15000/3.4528</f>
        <v>4344.300278</v>
      </c>
      <c r="E26" s="27">
        <f>309192/3.4528</f>
        <v>89548.19277</v>
      </c>
      <c r="F26" s="26"/>
      <c r="G26" s="26"/>
      <c r="H26" s="26"/>
      <c r="I26" s="26"/>
      <c r="J26" s="26"/>
      <c r="K26" s="26"/>
      <c r="L26" s="25">
        <v>201611.0</v>
      </c>
      <c r="M26" s="24">
        <f t="shared" si="5"/>
        <v>2.217391304</v>
      </c>
      <c r="N26" s="26">
        <f t="shared" si="6"/>
        <v>0.3695652174</v>
      </c>
      <c r="O26" s="25">
        <v>2.0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 ht="17.25" customHeight="1">
      <c r="A27" s="26"/>
      <c r="B27" s="44" t="s">
        <v>59</v>
      </c>
      <c r="C27" s="44" t="s">
        <v>60</v>
      </c>
      <c r="D27" s="27">
        <v>0.0</v>
      </c>
      <c r="E27" s="27">
        <v>0.0</v>
      </c>
      <c r="F27" s="26"/>
      <c r="G27" s="26"/>
      <c r="H27" s="26"/>
      <c r="I27" s="26"/>
      <c r="J27" s="26"/>
      <c r="K27" s="26"/>
      <c r="L27" s="25">
        <v>201612.0</v>
      </c>
      <c r="M27" s="24">
        <f t="shared" si="5"/>
        <v>2.217391304</v>
      </c>
      <c r="N27" s="26">
        <f t="shared" si="6"/>
        <v>0.1847826087</v>
      </c>
      <c r="O27" s="25">
        <v>1.0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</row>
    <row r="28" ht="17.25" customHeight="1">
      <c r="A28" s="34"/>
      <c r="B28" s="35" t="s">
        <v>61</v>
      </c>
      <c r="C28" s="35" t="s">
        <v>62</v>
      </c>
      <c r="D28" s="36">
        <f t="shared" ref="D28:E28" si="9">SUM(D29-D30)</f>
        <v>-9701.112141</v>
      </c>
      <c r="E28" s="36">
        <f t="shared" si="9"/>
        <v>-21799.11956</v>
      </c>
      <c r="F28" s="34"/>
      <c r="G28" s="34"/>
      <c r="H28" s="34"/>
      <c r="I28" s="34"/>
      <c r="J28" s="34"/>
      <c r="K28" s="34"/>
      <c r="L28" s="34"/>
      <c r="M28" s="34"/>
      <c r="N28" s="34">
        <f>SUM(N16:N27)</f>
        <v>21.19565217</v>
      </c>
      <c r="O28" s="34"/>
      <c r="P28" s="34"/>
      <c r="Q28" s="34">
        <f>Q16+sum(N17:N27)</f>
        <v>43.36956522</v>
      </c>
      <c r="R28" s="34"/>
      <c r="S28" s="34"/>
      <c r="T28" s="34"/>
      <c r="U28" s="34"/>
      <c r="V28" s="34"/>
      <c r="W28" s="34"/>
      <c r="X28" s="34"/>
      <c r="Y28" s="34"/>
    </row>
    <row r="29" ht="17.25" customHeight="1">
      <c r="A29" s="26"/>
      <c r="B29" s="44" t="s">
        <v>63</v>
      </c>
      <c r="C29" s="44" t="s">
        <v>58</v>
      </c>
      <c r="D29" s="27">
        <f>11633/3.4528</f>
        <v>3369.149676</v>
      </c>
      <c r="E29" s="27">
        <f>9444/3.4528</f>
        <v>2735.171455</v>
      </c>
      <c r="F29" s="26"/>
      <c r="G29" s="26"/>
      <c r="H29" s="26"/>
      <c r="I29" s="26"/>
      <c r="J29" s="26"/>
      <c r="K29" s="26"/>
      <c r="L29" s="26"/>
      <c r="M29" s="26"/>
      <c r="N29" s="26">
        <f>D21/N28</f>
        <v>23588.17222</v>
      </c>
      <c r="O29" s="26"/>
      <c r="P29" s="26"/>
      <c r="Q29" s="26">
        <f>E21/Q28</f>
        <v>31554.54757</v>
      </c>
      <c r="R29" s="26"/>
      <c r="S29" s="26"/>
      <c r="T29" s="26"/>
      <c r="U29" s="26"/>
      <c r="V29" s="26"/>
      <c r="W29" s="26"/>
      <c r="X29" s="26"/>
      <c r="Y29" s="26"/>
    </row>
    <row r="30" ht="17.25" customHeight="1">
      <c r="A30" s="26"/>
      <c r="B30" s="44" t="s">
        <v>64</v>
      </c>
      <c r="C30" s="44" t="s">
        <v>60</v>
      </c>
      <c r="D30" s="27">
        <f>45129/3.4528</f>
        <v>13070.26182</v>
      </c>
      <c r="E30" s="27">
        <f>84712/3.4528</f>
        <v>24534.29101</v>
      </c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 ht="17.25" customHeight="1">
      <c r="A31" s="34"/>
      <c r="B31" s="35" t="s">
        <v>65</v>
      </c>
      <c r="C31" s="35" t="s">
        <v>66</v>
      </c>
      <c r="D31" s="43"/>
      <c r="E31" s="43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</row>
    <row r="32" ht="17.25" customHeight="1">
      <c r="A32" s="34"/>
      <c r="B32" s="35" t="s">
        <v>67</v>
      </c>
      <c r="C32" s="35" t="s">
        <v>68</v>
      </c>
      <c r="D32" s="43">
        <v>342711.06070435507</v>
      </c>
      <c r="E32" s="43">
        <v>427473.9341983369</v>
      </c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 ht="17.25" customHeight="1">
      <c r="A33" s="34"/>
      <c r="B33" s="35" t="s">
        <v>69</v>
      </c>
      <c r="C33" s="35" t="s">
        <v>70</v>
      </c>
      <c r="D33" s="36">
        <v>54291.01019462466</v>
      </c>
      <c r="E33" s="36">
        <v>62089.608433734946</v>
      </c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</row>
    <row r="34" ht="17.25" customHeight="1">
      <c r="A34" s="34"/>
      <c r="B34" s="35" t="s">
        <v>71</v>
      </c>
      <c r="C34" s="35" t="s">
        <v>72</v>
      </c>
      <c r="D34" s="36">
        <v>288420.0505097304</v>
      </c>
      <c r="E34" s="36">
        <v>365384.32576460193</v>
      </c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</row>
    <row r="35" ht="12.75" customHeight="1">
      <c r="A35" s="26"/>
      <c r="B35" s="26"/>
      <c r="C35" s="26"/>
      <c r="D35" s="27"/>
      <c r="E35" s="27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 ht="12.75" customHeight="1">
      <c r="A36" s="26"/>
      <c r="B36" s="26"/>
      <c r="C36" s="26"/>
      <c r="D36" s="27">
        <v>0.0</v>
      </c>
      <c r="E36" s="27">
        <v>0.0</v>
      </c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 ht="12.75" customHeight="1">
      <c r="A37" s="26"/>
      <c r="B37" s="26"/>
      <c r="C37" s="26"/>
      <c r="D37" s="27"/>
      <c r="E37" s="27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 ht="12.75" customHeight="1">
      <c r="A38" s="26"/>
      <c r="B38" s="26"/>
      <c r="C38" s="26"/>
      <c r="D38" s="27"/>
      <c r="E38" s="27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ht="12.75" customHeight="1">
      <c r="A39" s="26"/>
      <c r="B39" s="26"/>
      <c r="C39" s="26"/>
      <c r="D39" s="27"/>
      <c r="E39" s="27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 ht="12.75" customHeight="1">
      <c r="A40" s="26"/>
      <c r="B40" s="26"/>
      <c r="C40" s="26"/>
      <c r="D40" s="27"/>
      <c r="E40" s="27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 ht="12.75" customHeight="1">
      <c r="A41" s="26"/>
      <c r="B41" s="26"/>
      <c r="C41" s="26"/>
      <c r="D41" s="27"/>
      <c r="E41" s="27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 ht="12.75" customHeight="1">
      <c r="A42" s="26"/>
      <c r="B42" s="26"/>
      <c r="C42" s="26"/>
      <c r="D42" s="27"/>
      <c r="E42" s="27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 ht="12.75" customHeight="1">
      <c r="A43" s="26"/>
      <c r="B43" s="26"/>
      <c r="C43" s="26"/>
      <c r="D43" s="27"/>
      <c r="E43" s="27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 ht="12.75" customHeight="1">
      <c r="A44" s="26"/>
      <c r="B44" s="26"/>
      <c r="C44" s="26"/>
      <c r="D44" s="27"/>
      <c r="E44" s="27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 ht="12.75" customHeight="1">
      <c r="A45" s="26"/>
      <c r="B45" s="26"/>
      <c r="C45" s="26"/>
      <c r="D45" s="27"/>
      <c r="E45" s="27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 ht="12.75" customHeight="1">
      <c r="A46" s="26"/>
      <c r="B46" s="26"/>
      <c r="C46" s="26"/>
      <c r="D46" s="27"/>
      <c r="E46" s="27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 ht="12.75" customHeight="1">
      <c r="A47" s="26"/>
      <c r="B47" s="26"/>
      <c r="C47" s="26"/>
      <c r="D47" s="27"/>
      <c r="E47" s="27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 ht="12.75" customHeight="1">
      <c r="A48" s="26"/>
      <c r="B48" s="26"/>
      <c r="C48" s="26"/>
      <c r="D48" s="27"/>
      <c r="E48" s="27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 ht="12.75" customHeight="1">
      <c r="A49" s="26"/>
      <c r="B49" s="26"/>
      <c r="C49" s="26"/>
      <c r="D49" s="27"/>
      <c r="E49" s="27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 ht="12.75" customHeight="1">
      <c r="A50" s="26"/>
      <c r="B50" s="26"/>
      <c r="C50" s="26"/>
      <c r="D50" s="27"/>
      <c r="E50" s="27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 ht="12.75" customHeight="1">
      <c r="A51" s="26"/>
      <c r="B51" s="26"/>
      <c r="C51" s="26"/>
      <c r="D51" s="27"/>
      <c r="E51" s="27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 ht="12.75" customHeight="1">
      <c r="A52" s="26"/>
      <c r="B52" s="26"/>
      <c r="C52" s="26"/>
      <c r="D52" s="27"/>
      <c r="E52" s="27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</row>
    <row r="53" ht="12.75" customHeight="1">
      <c r="A53" s="26"/>
      <c r="B53" s="26"/>
      <c r="C53" s="26"/>
      <c r="D53" s="27"/>
      <c r="E53" s="27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</row>
    <row r="54" ht="12.75" customHeight="1">
      <c r="A54" s="26"/>
      <c r="B54" s="26"/>
      <c r="C54" s="26"/>
      <c r="D54" s="27"/>
      <c r="E54" s="27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 ht="12.75" customHeight="1">
      <c r="A55" s="26"/>
      <c r="B55" s="26"/>
      <c r="C55" s="26"/>
      <c r="D55" s="27"/>
      <c r="E55" s="27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</row>
    <row r="56" ht="12.75" customHeight="1">
      <c r="A56" s="26"/>
      <c r="B56" s="26"/>
      <c r="C56" s="26"/>
      <c r="D56" s="27"/>
      <c r="E56" s="27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 ht="12.75" customHeight="1">
      <c r="A57" s="26"/>
      <c r="B57" s="26"/>
      <c r="C57" s="26"/>
      <c r="D57" s="27"/>
      <c r="E57" s="27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 ht="12.75" customHeight="1">
      <c r="A58" s="26"/>
      <c r="B58" s="26"/>
      <c r="C58" s="26"/>
      <c r="D58" s="27"/>
      <c r="E58" s="27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 ht="12.75" customHeight="1">
      <c r="A59" s="52"/>
      <c r="B59" s="26"/>
      <c r="C59" s="26"/>
      <c r="D59" s="27"/>
      <c r="E59" s="27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 ht="12.75" customHeight="1">
      <c r="A60" s="26"/>
      <c r="B60" s="26"/>
      <c r="C60" s="26"/>
      <c r="D60" s="27"/>
      <c r="E60" s="27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</row>
    <row r="61" ht="12.75" customHeight="1">
      <c r="A61" s="26"/>
      <c r="B61" s="26"/>
      <c r="C61" s="26"/>
      <c r="D61" s="27"/>
      <c r="E61" s="27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 ht="12.75" customHeight="1">
      <c r="A62" s="26"/>
      <c r="B62" s="26"/>
      <c r="C62" s="26"/>
      <c r="D62" s="27"/>
      <c r="E62" s="27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 ht="12.75" customHeight="1">
      <c r="A63" s="26"/>
      <c r="B63" s="26"/>
      <c r="C63" s="26"/>
      <c r="D63" s="27"/>
      <c r="E63" s="27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</row>
    <row r="64" ht="12.75" customHeight="1">
      <c r="A64" s="26"/>
      <c r="B64" s="26"/>
      <c r="C64" s="26"/>
      <c r="D64" s="27"/>
      <c r="E64" s="27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</row>
    <row r="65" ht="12.75" customHeight="1">
      <c r="A65" s="26"/>
      <c r="B65" s="26"/>
      <c r="C65" s="26"/>
      <c r="D65" s="27"/>
      <c r="E65" s="27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</row>
    <row r="66" ht="12.75" customHeight="1">
      <c r="A66" s="26"/>
      <c r="B66" s="26"/>
      <c r="C66" s="26"/>
      <c r="D66" s="27"/>
      <c r="E66" s="27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</row>
    <row r="67" ht="12.75" customHeight="1">
      <c r="A67" s="26"/>
      <c r="B67" s="26"/>
      <c r="C67" s="26"/>
      <c r="D67" s="27"/>
      <c r="E67" s="27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 ht="12.75" customHeight="1">
      <c r="A68" s="26"/>
      <c r="B68" s="26"/>
      <c r="C68" s="26"/>
      <c r="D68" s="27"/>
      <c r="E68" s="27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</row>
    <row r="69" ht="12.75" customHeight="1">
      <c r="A69" s="26"/>
      <c r="B69" s="26"/>
      <c r="C69" s="26"/>
      <c r="D69" s="27"/>
      <c r="E69" s="27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 ht="12.75" customHeight="1">
      <c r="A70" s="26"/>
      <c r="B70" s="26"/>
      <c r="C70" s="26"/>
      <c r="D70" s="27"/>
      <c r="E70" s="27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</row>
    <row r="71" ht="12.75" customHeight="1">
      <c r="A71" s="26"/>
      <c r="B71" s="26"/>
      <c r="C71" s="26"/>
      <c r="D71" s="27"/>
      <c r="E71" s="27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</row>
    <row r="72" ht="12.75" customHeight="1">
      <c r="A72" s="26"/>
      <c r="B72" s="26"/>
      <c r="C72" s="26"/>
      <c r="D72" s="27"/>
      <c r="E72" s="27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</row>
    <row r="73" ht="12.75" customHeight="1">
      <c r="A73" s="26"/>
      <c r="B73" s="26"/>
      <c r="C73" s="26"/>
      <c r="D73" s="27"/>
      <c r="E73" s="27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</row>
    <row r="74" ht="12.75" customHeight="1">
      <c r="A74" s="26"/>
      <c r="B74" s="26"/>
      <c r="C74" s="26"/>
      <c r="D74" s="27"/>
      <c r="E74" s="27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</row>
    <row r="75" ht="12.75" customHeight="1">
      <c r="A75" s="26"/>
      <c r="B75" s="26"/>
      <c r="C75" s="26"/>
      <c r="D75" s="27"/>
      <c r="E75" s="27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</row>
    <row r="76" ht="12.75" customHeight="1">
      <c r="A76" s="26"/>
      <c r="B76" s="26"/>
      <c r="C76" s="26"/>
      <c r="D76" s="27"/>
      <c r="E76" s="27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 ht="12.75" customHeight="1">
      <c r="A77" s="26"/>
      <c r="B77" s="26"/>
      <c r="C77" s="26"/>
      <c r="D77" s="27"/>
      <c r="E77" s="27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</row>
    <row r="78" ht="12.75" customHeight="1">
      <c r="A78" s="26"/>
      <c r="B78" s="26"/>
      <c r="C78" s="26"/>
      <c r="D78" s="27"/>
      <c r="E78" s="27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</row>
    <row r="79" ht="12.75" customHeight="1">
      <c r="A79" s="26"/>
      <c r="B79" s="26"/>
      <c r="C79" s="26"/>
      <c r="D79" s="27"/>
      <c r="E79" s="27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</row>
    <row r="80" ht="12.75" customHeight="1">
      <c r="A80" s="26"/>
      <c r="B80" s="26"/>
      <c r="C80" s="26"/>
      <c r="D80" s="27"/>
      <c r="E80" s="27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</row>
    <row r="81" ht="12.75" customHeight="1">
      <c r="A81" s="26"/>
      <c r="B81" s="26"/>
      <c r="C81" s="26"/>
      <c r="D81" s="27"/>
      <c r="E81" s="27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</row>
    <row r="82" ht="12.75" customHeight="1">
      <c r="A82" s="26"/>
      <c r="B82" s="26"/>
      <c r="C82" s="26"/>
      <c r="D82" s="27"/>
      <c r="E82" s="27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</row>
    <row r="83" ht="12.75" customHeight="1">
      <c r="A83" s="26"/>
      <c r="B83" s="26"/>
      <c r="C83" s="26"/>
      <c r="D83" s="27"/>
      <c r="E83" s="27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</row>
    <row r="84" ht="12.75" customHeight="1">
      <c r="A84" s="26"/>
      <c r="B84" s="26"/>
      <c r="C84" s="26"/>
      <c r="D84" s="27"/>
      <c r="E84" s="27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 ht="12.75" customHeight="1">
      <c r="A85" s="26"/>
      <c r="B85" s="26"/>
      <c r="C85" s="26"/>
      <c r="D85" s="27"/>
      <c r="E85" s="27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</row>
    <row r="86" ht="12.75" customHeight="1">
      <c r="A86" s="26"/>
      <c r="B86" s="26"/>
      <c r="C86" s="26"/>
      <c r="D86" s="27"/>
      <c r="E86" s="27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</row>
    <row r="87" ht="12.75" customHeight="1">
      <c r="A87" s="26"/>
      <c r="B87" s="26"/>
      <c r="C87" s="26"/>
      <c r="D87" s="27"/>
      <c r="E87" s="27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</row>
    <row r="88" ht="12.75" customHeight="1">
      <c r="A88" s="26"/>
      <c r="B88" s="26"/>
      <c r="C88" s="26"/>
      <c r="D88" s="27"/>
      <c r="E88" s="27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 ht="12.75" customHeight="1">
      <c r="A89" s="26"/>
      <c r="B89" s="26"/>
      <c r="C89" s="26"/>
      <c r="D89" s="27"/>
      <c r="E89" s="27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</row>
    <row r="90" ht="12.75" customHeight="1">
      <c r="A90" s="26"/>
      <c r="B90" s="26"/>
      <c r="C90" s="26"/>
      <c r="D90" s="27"/>
      <c r="E90" s="27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</row>
    <row r="91" ht="12.75" customHeight="1">
      <c r="A91" s="26"/>
      <c r="B91" s="26"/>
      <c r="C91" s="26"/>
      <c r="D91" s="27"/>
      <c r="E91" s="27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</row>
    <row r="92" ht="12.75" customHeight="1">
      <c r="A92" s="26"/>
      <c r="B92" s="26"/>
      <c r="C92" s="26"/>
      <c r="D92" s="27"/>
      <c r="E92" s="27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 ht="12.75" customHeight="1">
      <c r="A93" s="26"/>
      <c r="B93" s="26"/>
      <c r="C93" s="26"/>
      <c r="D93" s="27"/>
      <c r="E93" s="27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 ht="12.75" customHeight="1">
      <c r="A94" s="26"/>
      <c r="B94" s="26"/>
      <c r="C94" s="26"/>
      <c r="D94" s="27"/>
      <c r="E94" s="27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</row>
    <row r="95" ht="12.75" customHeight="1">
      <c r="A95" s="26"/>
      <c r="B95" s="26"/>
      <c r="C95" s="26"/>
      <c r="D95" s="27"/>
      <c r="E95" s="27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 ht="12.75" customHeight="1">
      <c r="A96" s="26"/>
      <c r="B96" s="26"/>
      <c r="C96" s="26"/>
      <c r="D96" s="27"/>
      <c r="E96" s="27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 ht="12.75" customHeight="1">
      <c r="A97" s="26"/>
      <c r="B97" s="26"/>
      <c r="C97" s="26"/>
      <c r="D97" s="27"/>
      <c r="E97" s="27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 ht="12.75" customHeight="1">
      <c r="A98" s="26"/>
      <c r="B98" s="26"/>
      <c r="C98" s="26"/>
      <c r="D98" s="27"/>
      <c r="E98" s="27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 ht="12.75" customHeight="1">
      <c r="A99" s="26"/>
      <c r="B99" s="26"/>
      <c r="C99" s="26"/>
      <c r="D99" s="27"/>
      <c r="E99" s="27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 ht="12.75" customHeight="1">
      <c r="A100" s="26"/>
      <c r="B100" s="26"/>
      <c r="C100" s="26"/>
      <c r="D100" s="27"/>
      <c r="E100" s="27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 ht="12.75" customHeight="1">
      <c r="A101" s="26"/>
      <c r="B101" s="26"/>
      <c r="C101" s="26"/>
      <c r="D101" s="27"/>
      <c r="E101" s="27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 ht="12.75" customHeight="1">
      <c r="A102" s="26"/>
      <c r="B102" s="26"/>
      <c r="C102" s="26"/>
      <c r="D102" s="27"/>
      <c r="E102" s="27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 ht="12.75" customHeight="1">
      <c r="A103" s="26"/>
      <c r="B103" s="26"/>
      <c r="C103" s="26"/>
      <c r="D103" s="27"/>
      <c r="E103" s="27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 ht="12.75" customHeight="1">
      <c r="A104" s="26"/>
      <c r="B104" s="26"/>
      <c r="C104" s="26"/>
      <c r="D104" s="27"/>
      <c r="E104" s="27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 ht="12.75" customHeight="1">
      <c r="A105" s="26"/>
      <c r="B105" s="26"/>
      <c r="C105" s="26"/>
      <c r="D105" s="27"/>
      <c r="E105" s="27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 ht="12.75" customHeight="1">
      <c r="A106" s="26"/>
      <c r="B106" s="26"/>
      <c r="C106" s="26"/>
      <c r="D106" s="27"/>
      <c r="E106" s="27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 ht="12.75" customHeight="1">
      <c r="A107" s="26"/>
      <c r="B107" s="26"/>
      <c r="C107" s="26"/>
      <c r="D107" s="27"/>
      <c r="E107" s="27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 ht="12.75" customHeight="1">
      <c r="A108" s="26"/>
      <c r="B108" s="26"/>
      <c r="C108" s="26"/>
      <c r="D108" s="27"/>
      <c r="E108" s="27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 ht="12.75" customHeight="1">
      <c r="A109" s="26"/>
      <c r="B109" s="26"/>
      <c r="C109" s="26"/>
      <c r="D109" s="27"/>
      <c r="E109" s="27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</row>
    <row r="110" ht="12.75" customHeight="1">
      <c r="A110" s="26"/>
      <c r="B110" s="26"/>
      <c r="C110" s="26"/>
      <c r="D110" s="27"/>
      <c r="E110" s="27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 ht="12.75" customHeight="1">
      <c r="A111" s="26"/>
      <c r="B111" s="26"/>
      <c r="C111" s="26"/>
      <c r="D111" s="27"/>
      <c r="E111" s="27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 ht="12.75" customHeight="1">
      <c r="A112" s="26"/>
      <c r="B112" s="26"/>
      <c r="C112" s="26"/>
      <c r="D112" s="27"/>
      <c r="E112" s="27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 ht="12.75" customHeight="1">
      <c r="A113" s="26"/>
      <c r="B113" s="26"/>
      <c r="C113" s="26"/>
      <c r="D113" s="27"/>
      <c r="E113" s="27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 ht="12.75" customHeight="1">
      <c r="A114" s="26"/>
      <c r="B114" s="26"/>
      <c r="C114" s="26"/>
      <c r="D114" s="27"/>
      <c r="E114" s="27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 ht="12.75" customHeight="1">
      <c r="A115" s="26"/>
      <c r="B115" s="26"/>
      <c r="C115" s="26"/>
      <c r="D115" s="27"/>
      <c r="E115" s="27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 ht="12.75" customHeight="1">
      <c r="A116" s="26"/>
      <c r="B116" s="26"/>
      <c r="C116" s="26"/>
      <c r="D116" s="27"/>
      <c r="E116" s="27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 ht="12.75" customHeight="1">
      <c r="A117" s="26"/>
      <c r="B117" s="26"/>
      <c r="C117" s="26"/>
      <c r="D117" s="27"/>
      <c r="E117" s="27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 ht="12.75" customHeight="1">
      <c r="A118" s="26"/>
      <c r="B118" s="26"/>
      <c r="C118" s="26"/>
      <c r="D118" s="27"/>
      <c r="E118" s="27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</row>
    <row r="119" ht="12.75" customHeight="1">
      <c r="A119" s="26"/>
      <c r="B119" s="26"/>
      <c r="C119" s="26"/>
      <c r="D119" s="27"/>
      <c r="E119" s="27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 ht="12.75" customHeight="1">
      <c r="A120" s="26"/>
      <c r="B120" s="26"/>
      <c r="C120" s="26"/>
      <c r="D120" s="27"/>
      <c r="E120" s="27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 ht="12.75" customHeight="1">
      <c r="A121" s="26"/>
      <c r="B121" s="26"/>
      <c r="C121" s="26"/>
      <c r="D121" s="27"/>
      <c r="E121" s="27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 ht="12.75" customHeight="1">
      <c r="A122" s="26"/>
      <c r="B122" s="26"/>
      <c r="C122" s="26"/>
      <c r="D122" s="27"/>
      <c r="E122" s="27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 ht="12.75" customHeight="1">
      <c r="A123" s="26"/>
      <c r="B123" s="26"/>
      <c r="C123" s="26"/>
      <c r="D123" s="27"/>
      <c r="E123" s="27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</row>
    <row r="124" ht="12.75" customHeight="1">
      <c r="A124" s="26"/>
      <c r="B124" s="26"/>
      <c r="C124" s="26"/>
      <c r="D124" s="27"/>
      <c r="E124" s="27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</row>
    <row r="125" ht="12.75" customHeight="1">
      <c r="A125" s="26"/>
      <c r="B125" s="26"/>
      <c r="C125" s="26"/>
      <c r="D125" s="27"/>
      <c r="E125" s="27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</row>
    <row r="126" ht="12.75" customHeight="1">
      <c r="A126" s="26"/>
      <c r="B126" s="26"/>
      <c r="C126" s="26"/>
      <c r="D126" s="27"/>
      <c r="E126" s="27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</row>
    <row r="127" ht="12.75" customHeight="1">
      <c r="A127" s="26"/>
      <c r="B127" s="26"/>
      <c r="C127" s="26"/>
      <c r="D127" s="27"/>
      <c r="E127" s="27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</row>
    <row r="128" ht="12.75" customHeight="1">
      <c r="A128" s="26"/>
      <c r="B128" s="26"/>
      <c r="C128" s="26"/>
      <c r="D128" s="27"/>
      <c r="E128" s="27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</row>
    <row r="129" ht="12.75" customHeight="1">
      <c r="A129" s="26"/>
      <c r="B129" s="26"/>
      <c r="C129" s="26"/>
      <c r="D129" s="27"/>
      <c r="E129" s="27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</row>
    <row r="130" ht="12.75" customHeight="1">
      <c r="A130" s="26"/>
      <c r="B130" s="26"/>
      <c r="C130" s="26"/>
      <c r="D130" s="27"/>
      <c r="E130" s="27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</row>
    <row r="131" ht="12.75" customHeight="1">
      <c r="A131" s="26"/>
      <c r="B131" s="26"/>
      <c r="C131" s="26"/>
      <c r="D131" s="27"/>
      <c r="E131" s="27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</row>
    <row r="132" ht="12.75" customHeight="1">
      <c r="A132" s="26"/>
      <c r="B132" s="26"/>
      <c r="C132" s="26"/>
      <c r="D132" s="27"/>
      <c r="E132" s="27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</row>
    <row r="133" ht="12.75" customHeight="1">
      <c r="A133" s="26"/>
      <c r="B133" s="26"/>
      <c r="C133" s="26"/>
      <c r="D133" s="27"/>
      <c r="E133" s="27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</row>
    <row r="134" ht="12.75" customHeight="1">
      <c r="A134" s="26"/>
      <c r="B134" s="26"/>
      <c r="C134" s="26"/>
      <c r="D134" s="27"/>
      <c r="E134" s="27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</row>
    <row r="135" ht="12.75" customHeight="1">
      <c r="A135" s="26"/>
      <c r="B135" s="26"/>
      <c r="C135" s="26"/>
      <c r="D135" s="27"/>
      <c r="E135" s="27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 ht="12.75" customHeight="1">
      <c r="A136" s="26"/>
      <c r="B136" s="26"/>
      <c r="C136" s="26"/>
      <c r="D136" s="27"/>
      <c r="E136" s="27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 ht="12.75" customHeight="1">
      <c r="A137" s="26"/>
      <c r="B137" s="26"/>
      <c r="C137" s="26"/>
      <c r="D137" s="27"/>
      <c r="E137" s="27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</row>
    <row r="138" ht="12.75" customHeight="1">
      <c r="A138" s="26"/>
      <c r="B138" s="26"/>
      <c r="C138" s="26"/>
      <c r="D138" s="27"/>
      <c r="E138" s="27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</row>
    <row r="139" ht="12.75" customHeight="1">
      <c r="A139" s="26"/>
      <c r="B139" s="26"/>
      <c r="C139" s="26"/>
      <c r="D139" s="27"/>
      <c r="E139" s="27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</row>
    <row r="140" ht="12.75" customHeight="1">
      <c r="A140" s="26"/>
      <c r="B140" s="26"/>
      <c r="C140" s="26"/>
      <c r="D140" s="27"/>
      <c r="E140" s="27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</row>
    <row r="141" ht="12.75" customHeight="1">
      <c r="A141" s="26"/>
      <c r="B141" s="26"/>
      <c r="C141" s="26"/>
      <c r="D141" s="27"/>
      <c r="E141" s="27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</row>
    <row r="142" ht="12.75" customHeight="1">
      <c r="A142" s="26"/>
      <c r="B142" s="26"/>
      <c r="C142" s="26"/>
      <c r="D142" s="27"/>
      <c r="E142" s="27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</row>
    <row r="143" ht="12.75" customHeight="1">
      <c r="A143" s="26"/>
      <c r="B143" s="26"/>
      <c r="C143" s="26"/>
      <c r="D143" s="27"/>
      <c r="E143" s="27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</row>
    <row r="144" ht="12.75" customHeight="1">
      <c r="A144" s="26"/>
      <c r="B144" s="26"/>
      <c r="C144" s="26"/>
      <c r="D144" s="27"/>
      <c r="E144" s="27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</row>
    <row r="145" ht="12.75" customHeight="1">
      <c r="A145" s="26"/>
      <c r="B145" s="26"/>
      <c r="C145" s="26"/>
      <c r="D145" s="27"/>
      <c r="E145" s="27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</row>
    <row r="146" ht="12.75" customHeight="1">
      <c r="A146" s="26"/>
      <c r="B146" s="26"/>
      <c r="C146" s="26"/>
      <c r="D146" s="27"/>
      <c r="E146" s="27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</row>
    <row r="147" ht="12.75" customHeight="1">
      <c r="A147" s="26"/>
      <c r="B147" s="26"/>
      <c r="C147" s="26"/>
      <c r="D147" s="27"/>
      <c r="E147" s="27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</row>
    <row r="148" ht="12.75" customHeight="1">
      <c r="A148" s="26"/>
      <c r="B148" s="26"/>
      <c r="C148" s="26"/>
      <c r="D148" s="27"/>
      <c r="E148" s="27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</row>
    <row r="149" ht="12.75" customHeight="1">
      <c r="A149" s="26"/>
      <c r="B149" s="26"/>
      <c r="C149" s="26"/>
      <c r="D149" s="27"/>
      <c r="E149" s="27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 ht="12.75" customHeight="1">
      <c r="A150" s="26"/>
      <c r="B150" s="26"/>
      <c r="C150" s="26"/>
      <c r="D150" s="27"/>
      <c r="E150" s="27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</row>
    <row r="151" ht="12.75" customHeight="1">
      <c r="A151" s="26"/>
      <c r="B151" s="26"/>
      <c r="C151" s="26"/>
      <c r="D151" s="27"/>
      <c r="E151" s="27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</row>
    <row r="152" ht="12.75" customHeight="1">
      <c r="A152" s="26"/>
      <c r="B152" s="26"/>
      <c r="C152" s="26"/>
      <c r="D152" s="27"/>
      <c r="E152" s="27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 ht="12.75" customHeight="1">
      <c r="A153" s="26"/>
      <c r="B153" s="26"/>
      <c r="C153" s="26"/>
      <c r="D153" s="27"/>
      <c r="E153" s="27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 ht="12.75" customHeight="1">
      <c r="A154" s="26"/>
      <c r="B154" s="26"/>
      <c r="C154" s="26"/>
      <c r="D154" s="27"/>
      <c r="E154" s="27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 ht="12.75" customHeight="1">
      <c r="A155" s="26"/>
      <c r="B155" s="26"/>
      <c r="C155" s="26"/>
      <c r="D155" s="27"/>
      <c r="E155" s="27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 ht="12.75" customHeight="1">
      <c r="A156" s="26"/>
      <c r="B156" s="26"/>
      <c r="C156" s="26"/>
      <c r="D156" s="27"/>
      <c r="E156" s="27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 ht="12.75" customHeight="1">
      <c r="A157" s="26"/>
      <c r="B157" s="26"/>
      <c r="C157" s="26"/>
      <c r="D157" s="27"/>
      <c r="E157" s="27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 ht="12.75" customHeight="1">
      <c r="A158" s="26"/>
      <c r="B158" s="26"/>
      <c r="C158" s="26"/>
      <c r="D158" s="27"/>
      <c r="E158" s="27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 ht="12.75" customHeight="1">
      <c r="A159" s="26"/>
      <c r="B159" s="26"/>
      <c r="C159" s="26"/>
      <c r="D159" s="27"/>
      <c r="E159" s="27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 ht="12.75" customHeight="1">
      <c r="A160" s="26"/>
      <c r="B160" s="26"/>
      <c r="C160" s="26"/>
      <c r="D160" s="27"/>
      <c r="E160" s="27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 ht="12.75" customHeight="1">
      <c r="A161" s="26"/>
      <c r="B161" s="26"/>
      <c r="C161" s="26"/>
      <c r="D161" s="27"/>
      <c r="E161" s="27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 ht="12.75" customHeight="1">
      <c r="A162" s="26"/>
      <c r="B162" s="26"/>
      <c r="C162" s="26"/>
      <c r="D162" s="27"/>
      <c r="E162" s="27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 ht="12.75" customHeight="1">
      <c r="A163" s="26"/>
      <c r="B163" s="26"/>
      <c r="C163" s="26"/>
      <c r="D163" s="27"/>
      <c r="E163" s="27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 ht="12.75" customHeight="1">
      <c r="A164" s="26"/>
      <c r="B164" s="26"/>
      <c r="C164" s="26"/>
      <c r="D164" s="27"/>
      <c r="E164" s="27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 ht="12.75" customHeight="1">
      <c r="A165" s="26"/>
      <c r="B165" s="26"/>
      <c r="C165" s="26"/>
      <c r="D165" s="27"/>
      <c r="E165" s="27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 ht="12.75" customHeight="1">
      <c r="A166" s="26"/>
      <c r="B166" s="26"/>
      <c r="C166" s="26"/>
      <c r="D166" s="27"/>
      <c r="E166" s="27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 ht="12.75" customHeight="1">
      <c r="A167" s="26"/>
      <c r="B167" s="26"/>
      <c r="C167" s="26"/>
      <c r="D167" s="27"/>
      <c r="E167" s="27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 ht="12.75" customHeight="1">
      <c r="A168" s="26"/>
      <c r="B168" s="26"/>
      <c r="C168" s="26"/>
      <c r="D168" s="27"/>
      <c r="E168" s="27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 ht="12.75" customHeight="1">
      <c r="A169" s="26"/>
      <c r="B169" s="26"/>
      <c r="C169" s="26"/>
      <c r="D169" s="27"/>
      <c r="E169" s="27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 ht="12.75" customHeight="1">
      <c r="A170" s="26"/>
      <c r="B170" s="26"/>
      <c r="C170" s="26"/>
      <c r="D170" s="27"/>
      <c r="E170" s="27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 ht="12.75" customHeight="1">
      <c r="A171" s="26"/>
      <c r="B171" s="26"/>
      <c r="C171" s="26"/>
      <c r="D171" s="27"/>
      <c r="E171" s="27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 ht="12.75" customHeight="1">
      <c r="A172" s="26"/>
      <c r="B172" s="26"/>
      <c r="C172" s="26"/>
      <c r="D172" s="27"/>
      <c r="E172" s="27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 ht="12.75" customHeight="1">
      <c r="A173" s="26"/>
      <c r="B173" s="26"/>
      <c r="C173" s="26"/>
      <c r="D173" s="27"/>
      <c r="E173" s="27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 ht="12.75" customHeight="1">
      <c r="A174" s="26"/>
      <c r="B174" s="26"/>
      <c r="C174" s="26"/>
      <c r="D174" s="27"/>
      <c r="E174" s="27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 ht="12.75" customHeight="1">
      <c r="A175" s="26"/>
      <c r="B175" s="26"/>
      <c r="C175" s="26"/>
      <c r="D175" s="27"/>
      <c r="E175" s="27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 ht="12.75" customHeight="1">
      <c r="A176" s="26"/>
      <c r="B176" s="26"/>
      <c r="C176" s="26"/>
      <c r="D176" s="27"/>
      <c r="E176" s="27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 ht="12.75" customHeight="1">
      <c r="A177" s="26"/>
      <c r="B177" s="26"/>
      <c r="C177" s="26"/>
      <c r="D177" s="27"/>
      <c r="E177" s="27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 ht="12.75" customHeight="1">
      <c r="A178" s="26"/>
      <c r="B178" s="26"/>
      <c r="C178" s="26"/>
      <c r="D178" s="27"/>
      <c r="E178" s="27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 ht="12.75" customHeight="1">
      <c r="A179" s="26"/>
      <c r="B179" s="26"/>
      <c r="C179" s="26"/>
      <c r="D179" s="27"/>
      <c r="E179" s="27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ht="12.75" customHeight="1">
      <c r="A180" s="26"/>
      <c r="B180" s="26"/>
      <c r="C180" s="26"/>
      <c r="D180" s="27"/>
      <c r="E180" s="27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 ht="12.75" customHeight="1">
      <c r="A181" s="26"/>
      <c r="B181" s="26"/>
      <c r="C181" s="26"/>
      <c r="D181" s="27"/>
      <c r="E181" s="27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 ht="12.75" customHeight="1">
      <c r="A182" s="26"/>
      <c r="B182" s="26"/>
      <c r="C182" s="26"/>
      <c r="D182" s="27"/>
      <c r="E182" s="27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 ht="12.75" customHeight="1">
      <c r="A183" s="26"/>
      <c r="B183" s="26"/>
      <c r="C183" s="26"/>
      <c r="D183" s="27"/>
      <c r="E183" s="27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 ht="12.75" customHeight="1">
      <c r="A184" s="26"/>
      <c r="B184" s="26"/>
      <c r="C184" s="26"/>
      <c r="D184" s="27"/>
      <c r="E184" s="27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 ht="12.75" customHeight="1">
      <c r="A185" s="26"/>
      <c r="B185" s="26"/>
      <c r="C185" s="26"/>
      <c r="D185" s="27"/>
      <c r="E185" s="27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 ht="12.75" customHeight="1">
      <c r="A186" s="26"/>
      <c r="B186" s="26"/>
      <c r="C186" s="26"/>
      <c r="D186" s="27"/>
      <c r="E186" s="27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 ht="12.75" customHeight="1">
      <c r="A187" s="26"/>
      <c r="B187" s="26"/>
      <c r="C187" s="26"/>
      <c r="D187" s="27"/>
      <c r="E187" s="27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 ht="12.75" customHeight="1">
      <c r="A188" s="26"/>
      <c r="B188" s="26"/>
      <c r="C188" s="26"/>
      <c r="D188" s="27"/>
      <c r="E188" s="27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 ht="12.75" customHeight="1">
      <c r="A189" s="26"/>
      <c r="B189" s="26"/>
      <c r="C189" s="26"/>
      <c r="D189" s="27"/>
      <c r="E189" s="27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 ht="12.75" customHeight="1">
      <c r="A190" s="26"/>
      <c r="B190" s="26"/>
      <c r="C190" s="26"/>
      <c r="D190" s="27"/>
      <c r="E190" s="27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 ht="12.75" customHeight="1">
      <c r="A191" s="26"/>
      <c r="B191" s="26"/>
      <c r="C191" s="26"/>
      <c r="D191" s="27"/>
      <c r="E191" s="27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 ht="12.75" customHeight="1">
      <c r="A192" s="26"/>
      <c r="B192" s="26"/>
      <c r="C192" s="26"/>
      <c r="D192" s="27"/>
      <c r="E192" s="27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 ht="12.75" customHeight="1">
      <c r="A193" s="26"/>
      <c r="B193" s="26"/>
      <c r="C193" s="26"/>
      <c r="D193" s="27"/>
      <c r="E193" s="27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 ht="12.75" customHeight="1">
      <c r="A194" s="26"/>
      <c r="B194" s="26"/>
      <c r="C194" s="26"/>
      <c r="D194" s="27"/>
      <c r="E194" s="27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 ht="12.75" customHeight="1">
      <c r="A195" s="26"/>
      <c r="B195" s="26"/>
      <c r="C195" s="26"/>
      <c r="D195" s="27"/>
      <c r="E195" s="27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 ht="12.75" customHeight="1">
      <c r="A196" s="26"/>
      <c r="B196" s="26"/>
      <c r="C196" s="26"/>
      <c r="D196" s="27"/>
      <c r="E196" s="27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 ht="12.75" customHeight="1">
      <c r="A197" s="26"/>
      <c r="B197" s="26"/>
      <c r="C197" s="26"/>
      <c r="D197" s="27"/>
      <c r="E197" s="27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 ht="12.75" customHeight="1">
      <c r="A198" s="26"/>
      <c r="B198" s="26"/>
      <c r="C198" s="26"/>
      <c r="D198" s="27"/>
      <c r="E198" s="27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 ht="12.75" customHeight="1">
      <c r="A199" s="26"/>
      <c r="B199" s="26"/>
      <c r="C199" s="26"/>
      <c r="D199" s="27"/>
      <c r="E199" s="27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 ht="12.75" customHeight="1">
      <c r="A200" s="26"/>
      <c r="B200" s="26"/>
      <c r="C200" s="26"/>
      <c r="D200" s="27"/>
      <c r="E200" s="27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 ht="12.75" customHeight="1">
      <c r="A201" s="26"/>
      <c r="B201" s="26"/>
      <c r="C201" s="26"/>
      <c r="D201" s="27"/>
      <c r="E201" s="27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 ht="12.75" customHeight="1">
      <c r="A202" s="26"/>
      <c r="B202" s="26"/>
      <c r="C202" s="26"/>
      <c r="D202" s="27"/>
      <c r="E202" s="27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 ht="12.75" customHeight="1">
      <c r="A203" s="26"/>
      <c r="B203" s="26"/>
      <c r="C203" s="26"/>
      <c r="D203" s="27"/>
      <c r="E203" s="27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 ht="12.75" customHeight="1">
      <c r="A204" s="26"/>
      <c r="B204" s="26"/>
      <c r="C204" s="26"/>
      <c r="D204" s="27"/>
      <c r="E204" s="27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 ht="12.75" customHeight="1">
      <c r="A205" s="26"/>
      <c r="B205" s="26"/>
      <c r="C205" s="26"/>
      <c r="D205" s="27"/>
      <c r="E205" s="27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 ht="12.75" customHeight="1">
      <c r="A206" s="26"/>
      <c r="B206" s="26"/>
      <c r="C206" s="26"/>
      <c r="D206" s="27"/>
      <c r="E206" s="27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 ht="12.75" customHeight="1">
      <c r="A207" s="26"/>
      <c r="B207" s="26"/>
      <c r="C207" s="26"/>
      <c r="D207" s="27"/>
      <c r="E207" s="27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 ht="12.75" customHeight="1">
      <c r="A208" s="26"/>
      <c r="B208" s="26"/>
      <c r="C208" s="26"/>
      <c r="D208" s="27"/>
      <c r="E208" s="27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 ht="12.75" customHeight="1">
      <c r="A209" s="26"/>
      <c r="B209" s="26"/>
      <c r="C209" s="26"/>
      <c r="D209" s="27"/>
      <c r="E209" s="27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</row>
    <row r="210" ht="12.75" customHeight="1">
      <c r="A210" s="26"/>
      <c r="B210" s="26"/>
      <c r="C210" s="26"/>
      <c r="D210" s="27"/>
      <c r="E210" s="27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</row>
    <row r="211" ht="12.75" customHeight="1">
      <c r="A211" s="26"/>
      <c r="B211" s="26"/>
      <c r="C211" s="26"/>
      <c r="D211" s="27"/>
      <c r="E211" s="27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</row>
    <row r="212" ht="12.75" customHeight="1">
      <c r="A212" s="26"/>
      <c r="B212" s="26"/>
      <c r="C212" s="26"/>
      <c r="D212" s="27"/>
      <c r="E212" s="27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</row>
    <row r="213" ht="12.75" customHeight="1">
      <c r="A213" s="26"/>
      <c r="B213" s="26"/>
      <c r="C213" s="26"/>
      <c r="D213" s="27"/>
      <c r="E213" s="27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 ht="12.75" customHeight="1">
      <c r="A214" s="26"/>
      <c r="B214" s="26"/>
      <c r="C214" s="26"/>
      <c r="D214" s="27"/>
      <c r="E214" s="27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</row>
    <row r="215" ht="12.75" customHeight="1">
      <c r="A215" s="26"/>
      <c r="B215" s="26"/>
      <c r="C215" s="26"/>
      <c r="D215" s="27"/>
      <c r="E215" s="27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</row>
    <row r="216" ht="12.75" customHeight="1">
      <c r="A216" s="26"/>
      <c r="B216" s="26"/>
      <c r="C216" s="26"/>
      <c r="D216" s="27"/>
      <c r="E216" s="27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</row>
    <row r="217" ht="12.75" customHeight="1">
      <c r="A217" s="26"/>
      <c r="B217" s="26"/>
      <c r="C217" s="26"/>
      <c r="D217" s="27"/>
      <c r="E217" s="27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</row>
    <row r="218" ht="12.75" customHeight="1">
      <c r="A218" s="26"/>
      <c r="B218" s="26"/>
      <c r="C218" s="26"/>
      <c r="D218" s="27"/>
      <c r="E218" s="27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 ht="12.75" customHeight="1">
      <c r="A219" s="26"/>
      <c r="B219" s="26"/>
      <c r="C219" s="26"/>
      <c r="D219" s="27"/>
      <c r="E219" s="27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</row>
    <row r="220" ht="12.75" customHeight="1">
      <c r="A220" s="26"/>
      <c r="B220" s="26"/>
      <c r="C220" s="26"/>
      <c r="D220" s="27"/>
      <c r="E220" s="27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</row>
    <row r="221" ht="12.75" customHeight="1">
      <c r="A221" s="26"/>
      <c r="B221" s="26"/>
      <c r="C221" s="26"/>
      <c r="D221" s="27"/>
      <c r="E221" s="27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</row>
    <row r="222" ht="12.75" customHeight="1">
      <c r="A222" s="26"/>
      <c r="B222" s="26"/>
      <c r="C222" s="26"/>
      <c r="D222" s="27"/>
      <c r="E222" s="27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</row>
    <row r="223" ht="12.75" customHeight="1">
      <c r="A223" s="26"/>
      <c r="B223" s="26"/>
      <c r="C223" s="26"/>
      <c r="D223" s="27"/>
      <c r="E223" s="27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</row>
    <row r="224" ht="12.75" customHeight="1">
      <c r="A224" s="26"/>
      <c r="B224" s="26"/>
      <c r="C224" s="26"/>
      <c r="D224" s="27"/>
      <c r="E224" s="27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</row>
    <row r="225" ht="12.75" customHeight="1">
      <c r="A225" s="26"/>
      <c r="B225" s="26"/>
      <c r="C225" s="26"/>
      <c r="D225" s="27"/>
      <c r="E225" s="27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</row>
    <row r="226" ht="12.75" customHeight="1">
      <c r="A226" s="26"/>
      <c r="B226" s="26"/>
      <c r="C226" s="26"/>
      <c r="D226" s="27"/>
      <c r="E226" s="27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</row>
    <row r="227" ht="12.75" customHeight="1">
      <c r="A227" s="26"/>
      <c r="B227" s="26"/>
      <c r="C227" s="26"/>
      <c r="D227" s="27"/>
      <c r="E227" s="27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</row>
    <row r="228" ht="12.75" customHeight="1">
      <c r="A228" s="26"/>
      <c r="B228" s="26"/>
      <c r="C228" s="26"/>
      <c r="D228" s="27"/>
      <c r="E228" s="27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</row>
    <row r="229" ht="12.75" customHeight="1">
      <c r="A229" s="26"/>
      <c r="B229" s="26"/>
      <c r="C229" s="26"/>
      <c r="D229" s="27"/>
      <c r="E229" s="27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</row>
    <row r="230" ht="12.75" customHeight="1">
      <c r="A230" s="26"/>
      <c r="B230" s="26"/>
      <c r="C230" s="26"/>
      <c r="D230" s="27"/>
      <c r="E230" s="27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</row>
    <row r="231" ht="12.75" customHeight="1">
      <c r="A231" s="26"/>
      <c r="B231" s="26"/>
      <c r="C231" s="26"/>
      <c r="D231" s="27"/>
      <c r="E231" s="27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</row>
    <row r="232" ht="12.75" customHeight="1">
      <c r="A232" s="26"/>
      <c r="B232" s="26"/>
      <c r="C232" s="26"/>
      <c r="D232" s="27"/>
      <c r="E232" s="27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</row>
    <row r="233" ht="12.75" customHeight="1">
      <c r="A233" s="26"/>
      <c r="B233" s="26"/>
      <c r="C233" s="26"/>
      <c r="D233" s="27"/>
      <c r="E233" s="27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4" ht="12.75" customHeight="1">
      <c r="A234" s="26"/>
      <c r="B234" s="26"/>
      <c r="C234" s="26"/>
      <c r="D234" s="27"/>
      <c r="E234" s="27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</row>
    <row r="235" ht="12.75" customHeight="1">
      <c r="A235" s="26"/>
      <c r="B235" s="26"/>
      <c r="C235" s="26"/>
      <c r="D235" s="27"/>
      <c r="E235" s="27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</row>
    <row r="236" ht="12.75" customHeight="1">
      <c r="A236" s="26"/>
      <c r="B236" s="26"/>
      <c r="C236" s="26"/>
      <c r="D236" s="27"/>
      <c r="E236" s="27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</row>
    <row r="237" ht="15.75" customHeight="1">
      <c r="D237" s="53"/>
      <c r="E237" s="53"/>
    </row>
    <row r="238" ht="15.75" customHeight="1">
      <c r="D238" s="53"/>
      <c r="E238" s="53"/>
    </row>
    <row r="239" ht="15.75" customHeight="1">
      <c r="D239" s="53"/>
      <c r="E239" s="53"/>
    </row>
    <row r="240" ht="15.75" customHeight="1">
      <c r="D240" s="53"/>
      <c r="E240" s="53"/>
    </row>
    <row r="241" ht="15.75" customHeight="1">
      <c r="D241" s="53"/>
      <c r="E241" s="53"/>
    </row>
    <row r="242" ht="15.75" customHeight="1">
      <c r="D242" s="53"/>
      <c r="E242" s="53"/>
    </row>
    <row r="243" ht="15.75" customHeight="1">
      <c r="D243" s="53"/>
      <c r="E243" s="53"/>
    </row>
    <row r="244" ht="15.75" customHeight="1">
      <c r="D244" s="53"/>
      <c r="E244" s="53"/>
    </row>
    <row r="245" ht="15.75" customHeight="1">
      <c r="D245" s="53"/>
      <c r="E245" s="53"/>
    </row>
    <row r="246" ht="15.75" customHeight="1">
      <c r="D246" s="53"/>
      <c r="E246" s="53"/>
    </row>
    <row r="247" ht="15.75" customHeight="1">
      <c r="D247" s="53"/>
      <c r="E247" s="53"/>
    </row>
    <row r="248" ht="15.75" customHeight="1">
      <c r="D248" s="53"/>
      <c r="E248" s="53"/>
    </row>
    <row r="249" ht="15.75" customHeight="1">
      <c r="D249" s="53"/>
      <c r="E249" s="53"/>
    </row>
    <row r="250" ht="15.75" customHeight="1">
      <c r="D250" s="53"/>
      <c r="E250" s="53"/>
    </row>
    <row r="251" ht="15.75" customHeight="1">
      <c r="D251" s="53"/>
      <c r="E251" s="53"/>
    </row>
    <row r="252" ht="15.75" customHeight="1">
      <c r="D252" s="53"/>
      <c r="E252" s="53"/>
    </row>
    <row r="253" ht="15.75" customHeight="1">
      <c r="D253" s="53"/>
      <c r="E253" s="53"/>
    </row>
    <row r="254" ht="15.75" customHeight="1">
      <c r="D254" s="53"/>
      <c r="E254" s="53"/>
    </row>
    <row r="255" ht="15.75" customHeight="1">
      <c r="D255" s="53"/>
      <c r="E255" s="53"/>
    </row>
    <row r="256" ht="15.75" customHeight="1">
      <c r="D256" s="53"/>
      <c r="E256" s="53"/>
    </row>
    <row r="257" ht="15.75" customHeight="1">
      <c r="D257" s="53"/>
      <c r="E257" s="53"/>
    </row>
    <row r="258" ht="15.75" customHeight="1">
      <c r="D258" s="53"/>
      <c r="E258" s="53"/>
    </row>
    <row r="259" ht="15.75" customHeight="1">
      <c r="D259" s="53"/>
      <c r="E259" s="53"/>
    </row>
    <row r="260" ht="15.75" customHeight="1">
      <c r="D260" s="53"/>
      <c r="E260" s="53"/>
    </row>
    <row r="261" ht="15.75" customHeight="1">
      <c r="D261" s="53"/>
      <c r="E261" s="53"/>
    </row>
    <row r="262" ht="15.75" customHeight="1">
      <c r="D262" s="53"/>
      <c r="E262" s="53"/>
    </row>
    <row r="263" ht="15.75" customHeight="1">
      <c r="D263" s="53"/>
      <c r="E263" s="53"/>
    </row>
    <row r="264" ht="15.75" customHeight="1">
      <c r="D264" s="53"/>
      <c r="E264" s="53"/>
    </row>
    <row r="265" ht="15.75" customHeight="1">
      <c r="D265" s="53"/>
      <c r="E265" s="53"/>
    </row>
    <row r="266" ht="15.75" customHeight="1">
      <c r="D266" s="53"/>
      <c r="E266" s="53"/>
    </row>
    <row r="267" ht="15.75" customHeight="1">
      <c r="D267" s="53"/>
      <c r="E267" s="53"/>
    </row>
    <row r="268" ht="15.75" customHeight="1">
      <c r="D268" s="53"/>
      <c r="E268" s="53"/>
    </row>
    <row r="269" ht="15.75" customHeight="1">
      <c r="D269" s="53"/>
      <c r="E269" s="53"/>
    </row>
    <row r="270" ht="15.75" customHeight="1">
      <c r="D270" s="53"/>
      <c r="E270" s="53"/>
    </row>
    <row r="271" ht="15.75" customHeight="1">
      <c r="D271" s="53"/>
      <c r="E271" s="53"/>
    </row>
    <row r="272" ht="15.75" customHeight="1">
      <c r="D272" s="53"/>
      <c r="E272" s="53"/>
    </row>
    <row r="273" ht="15.75" customHeight="1">
      <c r="D273" s="53"/>
      <c r="E273" s="53"/>
    </row>
    <row r="274" ht="15.75" customHeight="1">
      <c r="D274" s="53"/>
      <c r="E274" s="53"/>
    </row>
    <row r="275" ht="15.75" customHeight="1">
      <c r="D275" s="53"/>
      <c r="E275" s="53"/>
    </row>
    <row r="276" ht="15.75" customHeight="1">
      <c r="D276" s="53"/>
      <c r="E276" s="53"/>
    </row>
    <row r="277" ht="15.75" customHeight="1">
      <c r="D277" s="53"/>
      <c r="E277" s="53"/>
    </row>
    <row r="278" ht="15.75" customHeight="1">
      <c r="D278" s="53"/>
      <c r="E278" s="53"/>
    </row>
    <row r="279" ht="15.75" customHeight="1">
      <c r="D279" s="53"/>
      <c r="E279" s="53"/>
    </row>
    <row r="280" ht="15.75" customHeight="1">
      <c r="D280" s="53"/>
      <c r="E280" s="53"/>
    </row>
    <row r="281" ht="15.75" customHeight="1">
      <c r="D281" s="53"/>
      <c r="E281" s="53"/>
    </row>
    <row r="282" ht="15.75" customHeight="1">
      <c r="D282" s="53"/>
      <c r="E282" s="53"/>
    </row>
    <row r="283" ht="15.75" customHeight="1">
      <c r="D283" s="53"/>
      <c r="E283" s="53"/>
    </row>
    <row r="284" ht="15.75" customHeight="1">
      <c r="D284" s="53"/>
      <c r="E284" s="53"/>
    </row>
    <row r="285" ht="15.75" customHeight="1">
      <c r="D285" s="53"/>
      <c r="E285" s="53"/>
    </row>
    <row r="286" ht="15.75" customHeight="1">
      <c r="D286" s="53"/>
      <c r="E286" s="53"/>
    </row>
    <row r="287" ht="15.75" customHeight="1">
      <c r="D287" s="53"/>
      <c r="E287" s="53"/>
    </row>
    <row r="288" ht="15.75" customHeight="1">
      <c r="D288" s="53"/>
      <c r="E288" s="53"/>
    </row>
    <row r="289" ht="15.75" customHeight="1">
      <c r="D289" s="53"/>
      <c r="E289" s="53"/>
    </row>
    <row r="290" ht="15.75" customHeight="1">
      <c r="D290" s="53"/>
      <c r="E290" s="53"/>
    </row>
    <row r="291" ht="15.75" customHeight="1">
      <c r="D291" s="53"/>
      <c r="E291" s="53"/>
    </row>
    <row r="292" ht="15.75" customHeight="1">
      <c r="D292" s="53"/>
      <c r="E292" s="53"/>
    </row>
    <row r="293" ht="15.75" customHeight="1">
      <c r="D293" s="53"/>
      <c r="E293" s="53"/>
    </row>
    <row r="294" ht="15.75" customHeight="1">
      <c r="D294" s="53"/>
      <c r="E294" s="53"/>
    </row>
    <row r="295" ht="15.75" customHeight="1">
      <c r="D295" s="53"/>
      <c r="E295" s="53"/>
    </row>
    <row r="296" ht="15.75" customHeight="1">
      <c r="D296" s="53"/>
      <c r="E296" s="53"/>
    </row>
    <row r="297" ht="15.75" customHeight="1">
      <c r="D297" s="53"/>
      <c r="E297" s="53"/>
    </row>
    <row r="298" ht="15.75" customHeight="1">
      <c r="D298" s="53"/>
      <c r="E298" s="53"/>
    </row>
    <row r="299" ht="15.75" customHeight="1">
      <c r="D299" s="53"/>
      <c r="E299" s="53"/>
    </row>
    <row r="300" ht="15.75" customHeight="1">
      <c r="D300" s="53"/>
      <c r="E300" s="53"/>
    </row>
    <row r="301" ht="15.75" customHeight="1">
      <c r="D301" s="53"/>
      <c r="E301" s="53"/>
    </row>
    <row r="302" ht="15.75" customHeight="1">
      <c r="D302" s="53"/>
      <c r="E302" s="53"/>
    </row>
    <row r="303" ht="15.75" customHeight="1">
      <c r="D303" s="53"/>
      <c r="E303" s="53"/>
    </row>
    <row r="304" ht="15.75" customHeight="1">
      <c r="D304" s="53"/>
      <c r="E304" s="53"/>
    </row>
    <row r="305" ht="15.75" customHeight="1">
      <c r="D305" s="53"/>
      <c r="E305" s="53"/>
    </row>
    <row r="306" ht="15.75" customHeight="1">
      <c r="D306" s="53"/>
      <c r="E306" s="53"/>
    </row>
    <row r="307" ht="15.75" customHeight="1">
      <c r="D307" s="53"/>
      <c r="E307" s="53"/>
    </row>
    <row r="308" ht="15.75" customHeight="1">
      <c r="D308" s="53"/>
      <c r="E308" s="53"/>
    </row>
    <row r="309" ht="15.75" customHeight="1">
      <c r="D309" s="53"/>
      <c r="E309" s="53"/>
    </row>
    <row r="310" ht="15.75" customHeight="1">
      <c r="D310" s="53"/>
      <c r="E310" s="53"/>
    </row>
    <row r="311" ht="15.75" customHeight="1">
      <c r="D311" s="53"/>
      <c r="E311" s="53"/>
    </row>
    <row r="312" ht="15.75" customHeight="1">
      <c r="D312" s="53"/>
      <c r="E312" s="53"/>
    </row>
    <row r="313" ht="15.75" customHeight="1">
      <c r="D313" s="53"/>
      <c r="E313" s="53"/>
    </row>
    <row r="314" ht="15.75" customHeight="1">
      <c r="D314" s="53"/>
      <c r="E314" s="53"/>
    </row>
    <row r="315" ht="15.75" customHeight="1">
      <c r="D315" s="53"/>
      <c r="E315" s="53"/>
    </row>
    <row r="316" ht="15.75" customHeight="1">
      <c r="D316" s="53"/>
      <c r="E316" s="53"/>
    </row>
    <row r="317" ht="15.75" customHeight="1">
      <c r="D317" s="53"/>
      <c r="E317" s="53"/>
    </row>
    <row r="318" ht="15.75" customHeight="1">
      <c r="D318" s="53"/>
      <c r="E318" s="53"/>
    </row>
    <row r="319" ht="15.75" customHeight="1">
      <c r="D319" s="53"/>
      <c r="E319" s="53"/>
    </row>
    <row r="320" ht="15.75" customHeight="1">
      <c r="D320" s="53"/>
      <c r="E320" s="53"/>
    </row>
    <row r="321" ht="15.75" customHeight="1">
      <c r="D321" s="53"/>
      <c r="E321" s="53"/>
    </row>
    <row r="322" ht="15.75" customHeight="1">
      <c r="D322" s="53"/>
      <c r="E322" s="53"/>
    </row>
    <row r="323" ht="15.75" customHeight="1">
      <c r="D323" s="53"/>
      <c r="E323" s="53"/>
    </row>
    <row r="324" ht="15.75" customHeight="1">
      <c r="D324" s="53"/>
      <c r="E324" s="53"/>
    </row>
    <row r="325" ht="15.75" customHeight="1">
      <c r="D325" s="53"/>
      <c r="E325" s="53"/>
    </row>
    <row r="326" ht="15.75" customHeight="1">
      <c r="D326" s="53"/>
      <c r="E326" s="53"/>
    </row>
    <row r="327" ht="15.75" customHeight="1">
      <c r="D327" s="53"/>
      <c r="E327" s="53"/>
    </row>
    <row r="328" ht="15.75" customHeight="1">
      <c r="D328" s="53"/>
      <c r="E328" s="53"/>
    </row>
    <row r="329" ht="15.75" customHeight="1">
      <c r="D329" s="53"/>
      <c r="E329" s="53"/>
    </row>
    <row r="330" ht="15.75" customHeight="1">
      <c r="D330" s="53"/>
      <c r="E330" s="53"/>
    </row>
    <row r="331" ht="15.75" customHeight="1">
      <c r="D331" s="53"/>
      <c r="E331" s="53"/>
    </row>
    <row r="332" ht="15.75" customHeight="1">
      <c r="D332" s="53"/>
      <c r="E332" s="53"/>
    </row>
    <row r="333" ht="15.75" customHeight="1">
      <c r="D333" s="53"/>
      <c r="E333" s="53"/>
    </row>
    <row r="334" ht="15.75" customHeight="1">
      <c r="D334" s="53"/>
      <c r="E334" s="53"/>
    </row>
    <row r="335" ht="15.75" customHeight="1">
      <c r="D335" s="53"/>
      <c r="E335" s="53"/>
    </row>
    <row r="336" ht="15.75" customHeight="1">
      <c r="D336" s="53"/>
      <c r="E336" s="53"/>
    </row>
    <row r="337" ht="15.75" customHeight="1">
      <c r="D337" s="53"/>
      <c r="E337" s="53"/>
    </row>
    <row r="338" ht="15.75" customHeight="1">
      <c r="D338" s="53"/>
      <c r="E338" s="53"/>
    </row>
    <row r="339" ht="15.75" customHeight="1">
      <c r="D339" s="53"/>
      <c r="E339" s="53"/>
    </row>
    <row r="340" ht="15.75" customHeight="1">
      <c r="D340" s="53"/>
      <c r="E340" s="53"/>
    </row>
    <row r="341" ht="15.75" customHeight="1">
      <c r="D341" s="53"/>
      <c r="E341" s="53"/>
    </row>
    <row r="342" ht="15.75" customHeight="1">
      <c r="D342" s="53"/>
      <c r="E342" s="53"/>
    </row>
    <row r="343" ht="15.75" customHeight="1">
      <c r="D343" s="53"/>
      <c r="E343" s="53"/>
    </row>
    <row r="344" ht="15.75" customHeight="1">
      <c r="D344" s="53"/>
      <c r="E344" s="53"/>
    </row>
    <row r="345" ht="15.75" customHeight="1">
      <c r="D345" s="53"/>
      <c r="E345" s="53"/>
    </row>
    <row r="346" ht="15.75" customHeight="1">
      <c r="D346" s="53"/>
      <c r="E346" s="53"/>
    </row>
    <row r="347" ht="15.75" customHeight="1">
      <c r="D347" s="53"/>
      <c r="E347" s="53"/>
    </row>
    <row r="348" ht="15.75" customHeight="1">
      <c r="D348" s="53"/>
      <c r="E348" s="53"/>
    </row>
    <row r="349" ht="15.75" customHeight="1">
      <c r="D349" s="53"/>
      <c r="E349" s="53"/>
    </row>
    <row r="350" ht="15.75" customHeight="1">
      <c r="D350" s="53"/>
      <c r="E350" s="53"/>
    </row>
    <row r="351" ht="15.75" customHeight="1">
      <c r="D351" s="53"/>
      <c r="E351" s="53"/>
    </row>
    <row r="352" ht="15.75" customHeight="1">
      <c r="D352" s="53"/>
      <c r="E352" s="53"/>
    </row>
    <row r="353" ht="15.75" customHeight="1">
      <c r="D353" s="53"/>
      <c r="E353" s="53"/>
    </row>
    <row r="354" ht="15.75" customHeight="1">
      <c r="D354" s="53"/>
      <c r="E354" s="53"/>
    </row>
    <row r="355" ht="15.75" customHeight="1">
      <c r="D355" s="53"/>
      <c r="E355" s="53"/>
    </row>
    <row r="356" ht="15.75" customHeight="1">
      <c r="D356" s="53"/>
      <c r="E356" s="53"/>
    </row>
    <row r="357" ht="15.75" customHeight="1">
      <c r="D357" s="53"/>
      <c r="E357" s="53"/>
    </row>
    <row r="358" ht="15.75" customHeight="1">
      <c r="D358" s="53"/>
      <c r="E358" s="53"/>
    </row>
    <row r="359" ht="15.75" customHeight="1">
      <c r="D359" s="53"/>
      <c r="E359" s="53"/>
    </row>
    <row r="360" ht="15.75" customHeight="1">
      <c r="D360" s="53"/>
      <c r="E360" s="53"/>
    </row>
    <row r="361" ht="15.75" customHeight="1">
      <c r="D361" s="53"/>
      <c r="E361" s="53"/>
    </row>
    <row r="362" ht="15.75" customHeight="1">
      <c r="D362" s="53"/>
      <c r="E362" s="53"/>
    </row>
    <row r="363" ht="15.75" customHeight="1">
      <c r="D363" s="53"/>
      <c r="E363" s="53"/>
    </row>
    <row r="364" ht="15.75" customHeight="1">
      <c r="D364" s="53"/>
      <c r="E364" s="53"/>
    </row>
    <row r="365" ht="15.75" customHeight="1">
      <c r="D365" s="53"/>
      <c r="E365" s="53"/>
    </row>
    <row r="366" ht="15.75" customHeight="1">
      <c r="D366" s="53"/>
      <c r="E366" s="53"/>
    </row>
    <row r="367" ht="15.75" customHeight="1">
      <c r="D367" s="53"/>
      <c r="E367" s="53"/>
    </row>
    <row r="368" ht="15.75" customHeight="1">
      <c r="D368" s="53"/>
      <c r="E368" s="53"/>
    </row>
    <row r="369" ht="15.75" customHeight="1">
      <c r="D369" s="53"/>
      <c r="E369" s="53"/>
    </row>
    <row r="370" ht="15.75" customHeight="1">
      <c r="D370" s="53"/>
      <c r="E370" s="53"/>
    </row>
    <row r="371" ht="15.75" customHeight="1">
      <c r="D371" s="53"/>
      <c r="E371" s="53"/>
    </row>
    <row r="372" ht="15.75" customHeight="1">
      <c r="D372" s="53"/>
      <c r="E372" s="53"/>
    </row>
    <row r="373" ht="15.75" customHeight="1">
      <c r="D373" s="53"/>
      <c r="E373" s="53"/>
    </row>
    <row r="374" ht="15.75" customHeight="1">
      <c r="D374" s="53"/>
      <c r="E374" s="53"/>
    </row>
    <row r="375" ht="15.75" customHeight="1">
      <c r="D375" s="53"/>
      <c r="E375" s="53"/>
    </row>
    <row r="376" ht="15.75" customHeight="1">
      <c r="D376" s="53"/>
      <c r="E376" s="53"/>
    </row>
    <row r="377" ht="15.75" customHeight="1">
      <c r="D377" s="53"/>
      <c r="E377" s="53"/>
    </row>
    <row r="378" ht="15.75" customHeight="1">
      <c r="D378" s="53"/>
      <c r="E378" s="53"/>
    </row>
    <row r="379" ht="15.75" customHeight="1">
      <c r="D379" s="53"/>
      <c r="E379" s="53"/>
    </row>
    <row r="380" ht="15.75" customHeight="1">
      <c r="D380" s="53"/>
      <c r="E380" s="53"/>
    </row>
    <row r="381" ht="15.75" customHeight="1">
      <c r="D381" s="53"/>
      <c r="E381" s="53"/>
    </row>
    <row r="382" ht="15.75" customHeight="1">
      <c r="D382" s="53"/>
      <c r="E382" s="53"/>
    </row>
    <row r="383" ht="15.75" customHeight="1">
      <c r="D383" s="53"/>
      <c r="E383" s="53"/>
    </row>
    <row r="384" ht="15.75" customHeight="1">
      <c r="D384" s="53"/>
      <c r="E384" s="53"/>
    </row>
    <row r="385" ht="15.75" customHeight="1">
      <c r="D385" s="53"/>
      <c r="E385" s="53"/>
    </row>
    <row r="386" ht="15.75" customHeight="1">
      <c r="D386" s="53"/>
      <c r="E386" s="53"/>
    </row>
    <row r="387" ht="15.75" customHeight="1">
      <c r="D387" s="53"/>
      <c r="E387" s="53"/>
    </row>
    <row r="388" ht="15.75" customHeight="1">
      <c r="D388" s="53"/>
      <c r="E388" s="53"/>
    </row>
    <row r="389" ht="15.75" customHeight="1">
      <c r="D389" s="53"/>
      <c r="E389" s="53"/>
    </row>
    <row r="390" ht="15.75" customHeight="1">
      <c r="D390" s="53"/>
      <c r="E390" s="53"/>
    </row>
    <row r="391" ht="15.75" customHeight="1">
      <c r="D391" s="53"/>
      <c r="E391" s="53"/>
    </row>
    <row r="392" ht="15.75" customHeight="1">
      <c r="D392" s="53"/>
      <c r="E392" s="53"/>
    </row>
    <row r="393" ht="15.75" customHeight="1">
      <c r="D393" s="53"/>
      <c r="E393" s="53"/>
    </row>
    <row r="394" ht="15.75" customHeight="1">
      <c r="D394" s="53"/>
      <c r="E394" s="53"/>
    </row>
    <row r="395" ht="15.75" customHeight="1">
      <c r="D395" s="53"/>
      <c r="E395" s="53"/>
    </row>
    <row r="396" ht="15.75" customHeight="1">
      <c r="D396" s="53"/>
      <c r="E396" s="53"/>
    </row>
    <row r="397" ht="15.75" customHeight="1">
      <c r="D397" s="53"/>
      <c r="E397" s="53"/>
    </row>
    <row r="398" ht="15.75" customHeight="1">
      <c r="D398" s="53"/>
      <c r="E398" s="53"/>
    </row>
    <row r="399" ht="15.75" customHeight="1">
      <c r="D399" s="53"/>
      <c r="E399" s="53"/>
    </row>
    <row r="400" ht="15.75" customHeight="1">
      <c r="D400" s="53"/>
      <c r="E400" s="53"/>
    </row>
    <row r="401" ht="15.75" customHeight="1">
      <c r="D401" s="53"/>
      <c r="E401" s="53"/>
    </row>
    <row r="402" ht="15.75" customHeight="1">
      <c r="D402" s="53"/>
      <c r="E402" s="53"/>
    </row>
    <row r="403" ht="15.75" customHeight="1">
      <c r="D403" s="53"/>
      <c r="E403" s="53"/>
    </row>
    <row r="404" ht="15.75" customHeight="1">
      <c r="D404" s="53"/>
      <c r="E404" s="53"/>
    </row>
    <row r="405" ht="15.75" customHeight="1">
      <c r="D405" s="53"/>
      <c r="E405" s="53"/>
    </row>
    <row r="406" ht="15.75" customHeight="1">
      <c r="D406" s="53"/>
      <c r="E406" s="53"/>
    </row>
    <row r="407" ht="15.75" customHeight="1">
      <c r="D407" s="53"/>
      <c r="E407" s="53"/>
    </row>
    <row r="408" ht="15.75" customHeight="1">
      <c r="D408" s="53"/>
      <c r="E408" s="53"/>
    </row>
    <row r="409" ht="15.75" customHeight="1">
      <c r="D409" s="53"/>
      <c r="E409" s="53"/>
    </row>
    <row r="410" ht="15.75" customHeight="1">
      <c r="D410" s="53"/>
      <c r="E410" s="53"/>
    </row>
    <row r="411" ht="15.75" customHeight="1">
      <c r="D411" s="53"/>
      <c r="E411" s="53"/>
    </row>
    <row r="412" ht="15.75" customHeight="1">
      <c r="D412" s="53"/>
      <c r="E412" s="53"/>
    </row>
    <row r="413" ht="15.75" customHeight="1">
      <c r="D413" s="53"/>
      <c r="E413" s="53"/>
    </row>
    <row r="414" ht="15.75" customHeight="1">
      <c r="D414" s="53"/>
      <c r="E414" s="53"/>
    </row>
    <row r="415" ht="15.75" customHeight="1">
      <c r="D415" s="53"/>
      <c r="E415" s="53"/>
    </row>
    <row r="416" ht="15.75" customHeight="1">
      <c r="D416" s="53"/>
      <c r="E416" s="53"/>
    </row>
    <row r="417" ht="15.75" customHeight="1">
      <c r="D417" s="53"/>
      <c r="E417" s="53"/>
    </row>
    <row r="418" ht="15.75" customHeight="1">
      <c r="D418" s="53"/>
      <c r="E418" s="53"/>
    </row>
    <row r="419" ht="15.75" customHeight="1">
      <c r="D419" s="53"/>
      <c r="E419" s="53"/>
    </row>
    <row r="420" ht="15.75" customHeight="1">
      <c r="D420" s="53"/>
      <c r="E420" s="53"/>
    </row>
    <row r="421" ht="15.75" customHeight="1">
      <c r="D421" s="53"/>
      <c r="E421" s="53"/>
    </row>
    <row r="422" ht="15.75" customHeight="1">
      <c r="D422" s="53"/>
      <c r="E422" s="53"/>
    </row>
    <row r="423" ht="15.75" customHeight="1">
      <c r="D423" s="53"/>
      <c r="E423" s="53"/>
    </row>
    <row r="424" ht="15.75" customHeight="1">
      <c r="D424" s="53"/>
      <c r="E424" s="53"/>
    </row>
    <row r="425" ht="15.75" customHeight="1">
      <c r="D425" s="53"/>
      <c r="E425" s="53"/>
    </row>
    <row r="426" ht="15.75" customHeight="1">
      <c r="D426" s="53"/>
      <c r="E426" s="53"/>
    </row>
    <row r="427" ht="15.75" customHeight="1">
      <c r="D427" s="53"/>
      <c r="E427" s="53"/>
    </row>
    <row r="428" ht="15.75" customHeight="1">
      <c r="D428" s="53"/>
      <c r="E428" s="53"/>
    </row>
    <row r="429" ht="15.75" customHeight="1">
      <c r="D429" s="53"/>
      <c r="E429" s="53"/>
    </row>
    <row r="430" ht="15.75" customHeight="1">
      <c r="D430" s="53"/>
      <c r="E430" s="53"/>
    </row>
    <row r="431" ht="15.75" customHeight="1">
      <c r="D431" s="53"/>
      <c r="E431" s="53"/>
    </row>
    <row r="432" ht="15.75" customHeight="1">
      <c r="D432" s="53"/>
      <c r="E432" s="53"/>
    </row>
    <row r="433" ht="15.75" customHeight="1">
      <c r="D433" s="53"/>
      <c r="E433" s="53"/>
    </row>
    <row r="434" ht="15.75" customHeight="1">
      <c r="D434" s="53"/>
      <c r="E434" s="53"/>
    </row>
    <row r="435" ht="15.75" customHeight="1">
      <c r="D435" s="53"/>
      <c r="E435" s="53"/>
    </row>
    <row r="436" ht="15.75" customHeight="1">
      <c r="D436" s="53"/>
      <c r="E436" s="53"/>
    </row>
    <row r="437" ht="15.75" customHeight="1">
      <c r="D437" s="53"/>
      <c r="E437" s="53"/>
    </row>
    <row r="438" ht="15.75" customHeight="1">
      <c r="D438" s="53"/>
      <c r="E438" s="53"/>
    </row>
    <row r="439" ht="15.75" customHeight="1">
      <c r="D439" s="53"/>
      <c r="E439" s="53"/>
    </row>
    <row r="440" ht="15.75" customHeight="1">
      <c r="D440" s="53"/>
      <c r="E440" s="53"/>
    </row>
    <row r="441" ht="15.75" customHeight="1">
      <c r="D441" s="53"/>
      <c r="E441" s="53"/>
    </row>
    <row r="442" ht="15.75" customHeight="1">
      <c r="D442" s="53"/>
      <c r="E442" s="53"/>
    </row>
    <row r="443" ht="15.75" customHeight="1">
      <c r="D443" s="53"/>
      <c r="E443" s="53"/>
    </row>
    <row r="444" ht="15.75" customHeight="1">
      <c r="D444" s="53"/>
      <c r="E444" s="53"/>
    </row>
    <row r="445" ht="15.75" customHeight="1">
      <c r="D445" s="53"/>
      <c r="E445" s="53"/>
    </row>
    <row r="446" ht="15.75" customHeight="1">
      <c r="D446" s="53"/>
      <c r="E446" s="53"/>
    </row>
    <row r="447" ht="15.75" customHeight="1">
      <c r="D447" s="53"/>
      <c r="E447" s="53"/>
    </row>
    <row r="448" ht="15.75" customHeight="1">
      <c r="D448" s="53"/>
      <c r="E448" s="53"/>
    </row>
    <row r="449" ht="15.75" customHeight="1">
      <c r="D449" s="53"/>
      <c r="E449" s="53"/>
    </row>
    <row r="450" ht="15.75" customHeight="1">
      <c r="D450" s="53"/>
      <c r="E450" s="53"/>
    </row>
    <row r="451" ht="15.75" customHeight="1">
      <c r="D451" s="53"/>
      <c r="E451" s="53"/>
    </row>
    <row r="452" ht="15.75" customHeight="1">
      <c r="D452" s="53"/>
      <c r="E452" s="53"/>
    </row>
    <row r="453" ht="15.75" customHeight="1">
      <c r="D453" s="53"/>
      <c r="E453" s="53"/>
    </row>
    <row r="454" ht="15.75" customHeight="1">
      <c r="D454" s="53"/>
      <c r="E454" s="53"/>
    </row>
    <row r="455" ht="15.75" customHeight="1">
      <c r="D455" s="53"/>
      <c r="E455" s="53"/>
    </row>
    <row r="456" ht="15.75" customHeight="1">
      <c r="D456" s="53"/>
      <c r="E456" s="53"/>
    </row>
    <row r="457" ht="15.75" customHeight="1">
      <c r="D457" s="53"/>
      <c r="E457" s="53"/>
    </row>
    <row r="458" ht="15.75" customHeight="1">
      <c r="D458" s="53"/>
      <c r="E458" s="53"/>
    </row>
    <row r="459" ht="15.75" customHeight="1">
      <c r="D459" s="53"/>
      <c r="E459" s="53"/>
    </row>
    <row r="460" ht="15.75" customHeight="1">
      <c r="D460" s="53"/>
      <c r="E460" s="53"/>
    </row>
    <row r="461" ht="15.75" customHeight="1">
      <c r="D461" s="53"/>
      <c r="E461" s="53"/>
    </row>
    <row r="462" ht="15.75" customHeight="1">
      <c r="D462" s="53"/>
      <c r="E462" s="53"/>
    </row>
    <row r="463" ht="15.75" customHeight="1">
      <c r="D463" s="53"/>
      <c r="E463" s="53"/>
    </row>
    <row r="464" ht="15.75" customHeight="1">
      <c r="D464" s="53"/>
      <c r="E464" s="53"/>
    </row>
    <row r="465" ht="15.75" customHeight="1">
      <c r="D465" s="53"/>
      <c r="E465" s="53"/>
    </row>
    <row r="466" ht="15.75" customHeight="1">
      <c r="D466" s="53"/>
      <c r="E466" s="53"/>
    </row>
    <row r="467" ht="15.75" customHeight="1">
      <c r="D467" s="53"/>
      <c r="E467" s="53"/>
    </row>
    <row r="468" ht="15.75" customHeight="1">
      <c r="D468" s="53"/>
      <c r="E468" s="53"/>
    </row>
    <row r="469" ht="15.75" customHeight="1">
      <c r="D469" s="53"/>
      <c r="E469" s="53"/>
    </row>
    <row r="470" ht="15.75" customHeight="1">
      <c r="D470" s="53"/>
      <c r="E470" s="53"/>
    </row>
    <row r="471" ht="15.75" customHeight="1">
      <c r="D471" s="53"/>
      <c r="E471" s="53"/>
    </row>
    <row r="472" ht="15.75" customHeight="1">
      <c r="D472" s="53"/>
      <c r="E472" s="53"/>
    </row>
    <row r="473" ht="15.75" customHeight="1">
      <c r="D473" s="53"/>
      <c r="E473" s="53"/>
    </row>
    <row r="474" ht="15.75" customHeight="1">
      <c r="D474" s="53"/>
      <c r="E474" s="53"/>
    </row>
    <row r="475" ht="15.75" customHeight="1">
      <c r="D475" s="53"/>
      <c r="E475" s="53"/>
    </row>
    <row r="476" ht="15.75" customHeight="1">
      <c r="D476" s="53"/>
      <c r="E476" s="53"/>
    </row>
    <row r="477" ht="15.75" customHeight="1">
      <c r="D477" s="53"/>
      <c r="E477" s="53"/>
    </row>
    <row r="478" ht="15.75" customHeight="1">
      <c r="D478" s="53"/>
      <c r="E478" s="53"/>
    </row>
    <row r="479" ht="15.75" customHeight="1">
      <c r="D479" s="53"/>
      <c r="E479" s="53"/>
    </row>
    <row r="480" ht="15.75" customHeight="1">
      <c r="D480" s="53"/>
      <c r="E480" s="53"/>
    </row>
    <row r="481" ht="15.75" customHeight="1">
      <c r="D481" s="53"/>
      <c r="E481" s="53"/>
    </row>
    <row r="482" ht="15.75" customHeight="1">
      <c r="D482" s="53"/>
      <c r="E482" s="53"/>
    </row>
    <row r="483" ht="15.75" customHeight="1">
      <c r="D483" s="53"/>
      <c r="E483" s="53"/>
    </row>
    <row r="484" ht="15.75" customHeight="1">
      <c r="D484" s="53"/>
      <c r="E484" s="53"/>
    </row>
    <row r="485" ht="15.75" customHeight="1">
      <c r="D485" s="53"/>
      <c r="E485" s="53"/>
    </row>
    <row r="486" ht="15.75" customHeight="1">
      <c r="D486" s="53"/>
      <c r="E486" s="53"/>
    </row>
    <row r="487" ht="15.75" customHeight="1">
      <c r="D487" s="53"/>
      <c r="E487" s="53"/>
    </row>
    <row r="488" ht="15.75" customHeight="1">
      <c r="D488" s="53"/>
      <c r="E488" s="53"/>
    </row>
    <row r="489" ht="15.75" customHeight="1">
      <c r="D489" s="53"/>
      <c r="E489" s="53"/>
    </row>
    <row r="490" ht="15.75" customHeight="1">
      <c r="D490" s="53"/>
      <c r="E490" s="53"/>
    </row>
    <row r="491" ht="15.75" customHeight="1">
      <c r="D491" s="53"/>
      <c r="E491" s="53"/>
    </row>
    <row r="492" ht="15.75" customHeight="1">
      <c r="D492" s="53"/>
      <c r="E492" s="53"/>
    </row>
    <row r="493" ht="15.75" customHeight="1">
      <c r="D493" s="53"/>
      <c r="E493" s="53"/>
    </row>
    <row r="494" ht="15.75" customHeight="1">
      <c r="D494" s="53"/>
      <c r="E494" s="53"/>
    </row>
    <row r="495" ht="15.75" customHeight="1">
      <c r="D495" s="53"/>
      <c r="E495" s="53"/>
    </row>
    <row r="496" ht="15.75" customHeight="1">
      <c r="D496" s="53"/>
      <c r="E496" s="53"/>
    </row>
    <row r="497" ht="15.75" customHeight="1">
      <c r="D497" s="53"/>
      <c r="E497" s="53"/>
    </row>
    <row r="498" ht="15.75" customHeight="1">
      <c r="D498" s="53"/>
      <c r="E498" s="53"/>
    </row>
    <row r="499" ht="15.75" customHeight="1">
      <c r="D499" s="53"/>
      <c r="E499" s="53"/>
    </row>
    <row r="500" ht="15.75" customHeight="1">
      <c r="D500" s="53"/>
      <c r="E500" s="53"/>
    </row>
    <row r="501" ht="15.75" customHeight="1">
      <c r="D501" s="53"/>
      <c r="E501" s="53"/>
    </row>
    <row r="502" ht="15.75" customHeight="1">
      <c r="D502" s="53"/>
      <c r="E502" s="53"/>
    </row>
    <row r="503" ht="15.75" customHeight="1">
      <c r="D503" s="53"/>
      <c r="E503" s="53"/>
    </row>
    <row r="504" ht="15.75" customHeight="1">
      <c r="D504" s="53"/>
      <c r="E504" s="53"/>
    </row>
    <row r="505" ht="15.75" customHeight="1">
      <c r="D505" s="53"/>
      <c r="E505" s="53"/>
    </row>
    <row r="506" ht="15.75" customHeight="1">
      <c r="D506" s="53"/>
      <c r="E506" s="53"/>
    </row>
    <row r="507" ht="15.75" customHeight="1">
      <c r="D507" s="53"/>
      <c r="E507" s="53"/>
    </row>
    <row r="508" ht="15.75" customHeight="1">
      <c r="D508" s="53"/>
      <c r="E508" s="53"/>
    </row>
    <row r="509" ht="15.75" customHeight="1">
      <c r="D509" s="53"/>
      <c r="E509" s="53"/>
    </row>
    <row r="510" ht="15.75" customHeight="1">
      <c r="D510" s="53"/>
      <c r="E510" s="53"/>
    </row>
    <row r="511" ht="15.75" customHeight="1">
      <c r="D511" s="53"/>
      <c r="E511" s="53"/>
    </row>
    <row r="512" ht="15.75" customHeight="1">
      <c r="D512" s="53"/>
      <c r="E512" s="53"/>
    </row>
    <row r="513" ht="15.75" customHeight="1">
      <c r="D513" s="53"/>
      <c r="E513" s="53"/>
    </row>
    <row r="514" ht="15.75" customHeight="1">
      <c r="D514" s="53"/>
      <c r="E514" s="53"/>
    </row>
    <row r="515" ht="15.75" customHeight="1">
      <c r="D515" s="53"/>
      <c r="E515" s="53"/>
    </row>
    <row r="516" ht="15.75" customHeight="1">
      <c r="D516" s="53"/>
      <c r="E516" s="53"/>
    </row>
    <row r="517" ht="15.75" customHeight="1">
      <c r="D517" s="53"/>
      <c r="E517" s="53"/>
    </row>
    <row r="518" ht="15.75" customHeight="1">
      <c r="D518" s="53"/>
      <c r="E518" s="53"/>
    </row>
    <row r="519" ht="15.75" customHeight="1">
      <c r="D519" s="53"/>
      <c r="E519" s="53"/>
    </row>
    <row r="520" ht="15.75" customHeight="1">
      <c r="D520" s="53"/>
      <c r="E520" s="53"/>
    </row>
    <row r="521" ht="15.75" customHeight="1">
      <c r="D521" s="53"/>
      <c r="E521" s="53"/>
    </row>
    <row r="522" ht="15.75" customHeight="1">
      <c r="D522" s="53"/>
      <c r="E522" s="53"/>
    </row>
    <row r="523" ht="15.75" customHeight="1">
      <c r="D523" s="53"/>
      <c r="E523" s="53"/>
    </row>
    <row r="524" ht="15.75" customHeight="1">
      <c r="D524" s="53"/>
      <c r="E524" s="53"/>
    </row>
    <row r="525" ht="15.75" customHeight="1">
      <c r="D525" s="53"/>
      <c r="E525" s="53"/>
    </row>
    <row r="526" ht="15.75" customHeight="1">
      <c r="D526" s="53"/>
      <c r="E526" s="53"/>
    </row>
    <row r="527" ht="15.75" customHeight="1">
      <c r="D527" s="53"/>
      <c r="E527" s="53"/>
    </row>
    <row r="528" ht="15.75" customHeight="1">
      <c r="D528" s="53"/>
      <c r="E528" s="53"/>
    </row>
    <row r="529" ht="15.75" customHeight="1">
      <c r="D529" s="53"/>
      <c r="E529" s="53"/>
    </row>
    <row r="530" ht="15.75" customHeight="1">
      <c r="D530" s="53"/>
      <c r="E530" s="53"/>
    </row>
    <row r="531" ht="15.75" customHeight="1">
      <c r="D531" s="53"/>
      <c r="E531" s="53"/>
    </row>
    <row r="532" ht="15.75" customHeight="1">
      <c r="D532" s="53"/>
      <c r="E532" s="53"/>
    </row>
    <row r="533" ht="15.75" customHeight="1">
      <c r="D533" s="53"/>
      <c r="E533" s="53"/>
    </row>
    <row r="534" ht="15.75" customHeight="1">
      <c r="D534" s="53"/>
      <c r="E534" s="53"/>
    </row>
    <row r="535" ht="15.75" customHeight="1">
      <c r="D535" s="53"/>
      <c r="E535" s="53"/>
    </row>
    <row r="536" ht="15.75" customHeight="1">
      <c r="D536" s="53"/>
      <c r="E536" s="53"/>
    </row>
    <row r="537" ht="15.75" customHeight="1">
      <c r="D537" s="53"/>
      <c r="E537" s="53"/>
    </row>
    <row r="538" ht="15.75" customHeight="1">
      <c r="D538" s="53"/>
      <c r="E538" s="53"/>
    </row>
    <row r="539" ht="15.75" customHeight="1">
      <c r="D539" s="53"/>
      <c r="E539" s="53"/>
    </row>
    <row r="540" ht="15.75" customHeight="1">
      <c r="D540" s="53"/>
      <c r="E540" s="53"/>
    </row>
    <row r="541" ht="15.75" customHeight="1">
      <c r="D541" s="53"/>
      <c r="E541" s="53"/>
    </row>
    <row r="542" ht="15.75" customHeight="1">
      <c r="D542" s="53"/>
      <c r="E542" s="53"/>
    </row>
    <row r="543" ht="15.75" customHeight="1">
      <c r="D543" s="53"/>
      <c r="E543" s="53"/>
    </row>
    <row r="544" ht="15.75" customHeight="1">
      <c r="D544" s="53"/>
      <c r="E544" s="53"/>
    </row>
    <row r="545" ht="15.75" customHeight="1">
      <c r="D545" s="53"/>
      <c r="E545" s="53"/>
    </row>
    <row r="546" ht="15.75" customHeight="1">
      <c r="D546" s="53"/>
      <c r="E546" s="53"/>
    </row>
    <row r="547" ht="15.75" customHeight="1">
      <c r="D547" s="53"/>
      <c r="E547" s="53"/>
    </row>
    <row r="548" ht="15.75" customHeight="1">
      <c r="D548" s="53"/>
      <c r="E548" s="53"/>
    </row>
    <row r="549" ht="15.75" customHeight="1">
      <c r="D549" s="53"/>
      <c r="E549" s="53"/>
    </row>
    <row r="550" ht="15.75" customHeight="1">
      <c r="D550" s="53"/>
      <c r="E550" s="53"/>
    </row>
    <row r="551" ht="15.75" customHeight="1">
      <c r="D551" s="53"/>
      <c r="E551" s="53"/>
    </row>
    <row r="552" ht="15.75" customHeight="1">
      <c r="D552" s="53"/>
      <c r="E552" s="53"/>
    </row>
    <row r="553" ht="15.75" customHeight="1">
      <c r="D553" s="53"/>
      <c r="E553" s="53"/>
    </row>
    <row r="554" ht="15.75" customHeight="1">
      <c r="D554" s="53"/>
      <c r="E554" s="53"/>
    </row>
    <row r="555" ht="15.75" customHeight="1">
      <c r="D555" s="53"/>
      <c r="E555" s="53"/>
    </row>
    <row r="556" ht="15.75" customHeight="1">
      <c r="D556" s="53"/>
      <c r="E556" s="53"/>
    </row>
    <row r="557" ht="15.75" customHeight="1">
      <c r="D557" s="53"/>
      <c r="E557" s="53"/>
    </row>
    <row r="558" ht="15.75" customHeight="1">
      <c r="D558" s="53"/>
      <c r="E558" s="53"/>
    </row>
    <row r="559" ht="15.75" customHeight="1">
      <c r="D559" s="53"/>
      <c r="E559" s="53"/>
    </row>
    <row r="560" ht="15.75" customHeight="1">
      <c r="D560" s="53"/>
      <c r="E560" s="53"/>
    </row>
    <row r="561" ht="15.75" customHeight="1">
      <c r="D561" s="53"/>
      <c r="E561" s="53"/>
    </row>
    <row r="562" ht="15.75" customHeight="1">
      <c r="D562" s="53"/>
      <c r="E562" s="53"/>
    </row>
    <row r="563" ht="15.75" customHeight="1">
      <c r="D563" s="53"/>
      <c r="E563" s="53"/>
    </row>
    <row r="564" ht="15.75" customHeight="1">
      <c r="D564" s="53"/>
      <c r="E564" s="53"/>
    </row>
    <row r="565" ht="15.75" customHeight="1">
      <c r="D565" s="53"/>
      <c r="E565" s="53"/>
    </row>
    <row r="566" ht="15.75" customHeight="1">
      <c r="D566" s="53"/>
      <c r="E566" s="53"/>
    </row>
    <row r="567" ht="15.75" customHeight="1">
      <c r="D567" s="53"/>
      <c r="E567" s="53"/>
    </row>
    <row r="568" ht="15.75" customHeight="1">
      <c r="D568" s="53"/>
      <c r="E568" s="53"/>
    </row>
    <row r="569" ht="15.75" customHeight="1">
      <c r="D569" s="53"/>
      <c r="E569" s="53"/>
    </row>
    <row r="570" ht="15.75" customHeight="1">
      <c r="D570" s="53"/>
      <c r="E570" s="53"/>
    </row>
    <row r="571" ht="15.75" customHeight="1">
      <c r="D571" s="53"/>
      <c r="E571" s="53"/>
    </row>
    <row r="572" ht="15.75" customHeight="1">
      <c r="D572" s="53"/>
      <c r="E572" s="53"/>
    </row>
    <row r="573" ht="15.75" customHeight="1">
      <c r="D573" s="53"/>
      <c r="E573" s="53"/>
    </row>
    <row r="574" ht="15.75" customHeight="1">
      <c r="D574" s="53"/>
      <c r="E574" s="53"/>
    </row>
    <row r="575" ht="15.75" customHeight="1">
      <c r="D575" s="53"/>
      <c r="E575" s="53"/>
    </row>
    <row r="576" ht="15.75" customHeight="1">
      <c r="D576" s="53"/>
      <c r="E576" s="53"/>
    </row>
    <row r="577" ht="15.75" customHeight="1">
      <c r="D577" s="53"/>
      <c r="E577" s="53"/>
    </row>
    <row r="578" ht="15.75" customHeight="1">
      <c r="D578" s="53"/>
      <c r="E578" s="53"/>
    </row>
    <row r="579" ht="15.75" customHeight="1">
      <c r="D579" s="53"/>
      <c r="E579" s="53"/>
    </row>
    <row r="580" ht="15.75" customHeight="1">
      <c r="D580" s="53"/>
      <c r="E580" s="53"/>
    </row>
    <row r="581" ht="15.75" customHeight="1">
      <c r="D581" s="53"/>
      <c r="E581" s="53"/>
    </row>
    <row r="582" ht="15.75" customHeight="1">
      <c r="D582" s="53"/>
      <c r="E582" s="53"/>
    </row>
    <row r="583" ht="15.75" customHeight="1">
      <c r="D583" s="53"/>
      <c r="E583" s="53"/>
    </row>
    <row r="584" ht="15.75" customHeight="1">
      <c r="D584" s="53"/>
      <c r="E584" s="53"/>
    </row>
    <row r="585" ht="15.75" customHeight="1">
      <c r="D585" s="53"/>
      <c r="E585" s="53"/>
    </row>
    <row r="586" ht="15.75" customHeight="1">
      <c r="D586" s="53"/>
      <c r="E586" s="53"/>
    </row>
    <row r="587" ht="15.75" customHeight="1">
      <c r="D587" s="53"/>
      <c r="E587" s="53"/>
    </row>
    <row r="588" ht="15.75" customHeight="1">
      <c r="D588" s="53"/>
      <c r="E588" s="53"/>
    </row>
    <row r="589" ht="15.75" customHeight="1">
      <c r="D589" s="53"/>
      <c r="E589" s="53"/>
    </row>
    <row r="590" ht="15.75" customHeight="1">
      <c r="D590" s="53"/>
      <c r="E590" s="53"/>
    </row>
    <row r="591" ht="15.75" customHeight="1">
      <c r="D591" s="53"/>
      <c r="E591" s="53"/>
    </row>
    <row r="592" ht="15.75" customHeight="1">
      <c r="D592" s="53"/>
      <c r="E592" s="53"/>
    </row>
    <row r="593" ht="15.75" customHeight="1">
      <c r="D593" s="53"/>
      <c r="E593" s="53"/>
    </row>
    <row r="594" ht="15.75" customHeight="1">
      <c r="D594" s="53"/>
      <c r="E594" s="53"/>
    </row>
    <row r="595" ht="15.75" customHeight="1">
      <c r="D595" s="53"/>
      <c r="E595" s="53"/>
    </row>
    <row r="596" ht="15.75" customHeight="1">
      <c r="D596" s="53"/>
      <c r="E596" s="53"/>
    </row>
    <row r="597" ht="15.75" customHeight="1">
      <c r="D597" s="53"/>
      <c r="E597" s="53"/>
    </row>
    <row r="598" ht="15.75" customHeight="1">
      <c r="D598" s="53"/>
      <c r="E598" s="53"/>
    </row>
    <row r="599" ht="15.75" customHeight="1">
      <c r="D599" s="53"/>
      <c r="E599" s="53"/>
    </row>
    <row r="600" ht="15.75" customHeight="1">
      <c r="D600" s="53"/>
      <c r="E600" s="53"/>
    </row>
    <row r="601" ht="15.75" customHeight="1">
      <c r="D601" s="53"/>
      <c r="E601" s="53"/>
    </row>
    <row r="602" ht="15.75" customHeight="1">
      <c r="D602" s="53"/>
      <c r="E602" s="53"/>
    </row>
    <row r="603" ht="15.75" customHeight="1">
      <c r="D603" s="53"/>
      <c r="E603" s="53"/>
    </row>
    <row r="604" ht="15.75" customHeight="1">
      <c r="D604" s="53"/>
      <c r="E604" s="53"/>
    </row>
    <row r="605" ht="15.75" customHeight="1">
      <c r="D605" s="53"/>
      <c r="E605" s="53"/>
    </row>
    <row r="606" ht="15.75" customHeight="1">
      <c r="D606" s="53"/>
      <c r="E606" s="53"/>
    </row>
    <row r="607" ht="15.75" customHeight="1">
      <c r="D607" s="53"/>
      <c r="E607" s="53"/>
    </row>
    <row r="608" ht="15.75" customHeight="1">
      <c r="D608" s="53"/>
      <c r="E608" s="53"/>
    </row>
    <row r="609" ht="15.75" customHeight="1">
      <c r="D609" s="53"/>
      <c r="E609" s="53"/>
    </row>
    <row r="610" ht="15.75" customHeight="1">
      <c r="D610" s="53"/>
      <c r="E610" s="53"/>
    </row>
    <row r="611" ht="15.75" customHeight="1">
      <c r="D611" s="53"/>
      <c r="E611" s="53"/>
    </row>
    <row r="612" ht="15.75" customHeight="1">
      <c r="D612" s="53"/>
      <c r="E612" s="53"/>
    </row>
    <row r="613" ht="15.75" customHeight="1">
      <c r="D613" s="53"/>
      <c r="E613" s="53"/>
    </row>
    <row r="614" ht="15.75" customHeight="1">
      <c r="D614" s="53"/>
      <c r="E614" s="53"/>
    </row>
    <row r="615" ht="15.75" customHeight="1">
      <c r="D615" s="53"/>
      <c r="E615" s="53"/>
    </row>
    <row r="616" ht="15.75" customHeight="1">
      <c r="D616" s="53"/>
      <c r="E616" s="53"/>
    </row>
    <row r="617" ht="15.75" customHeight="1">
      <c r="D617" s="53"/>
      <c r="E617" s="53"/>
    </row>
    <row r="618" ht="15.75" customHeight="1">
      <c r="D618" s="53"/>
      <c r="E618" s="53"/>
    </row>
    <row r="619" ht="15.75" customHeight="1">
      <c r="D619" s="53"/>
      <c r="E619" s="53"/>
    </row>
    <row r="620" ht="15.75" customHeight="1">
      <c r="D620" s="53"/>
      <c r="E620" s="53"/>
    </row>
    <row r="621" ht="15.75" customHeight="1">
      <c r="D621" s="53"/>
      <c r="E621" s="53"/>
    </row>
    <row r="622" ht="15.75" customHeight="1">
      <c r="D622" s="53"/>
      <c r="E622" s="53"/>
    </row>
    <row r="623" ht="15.75" customHeight="1">
      <c r="D623" s="53"/>
      <c r="E623" s="53"/>
    </row>
    <row r="624" ht="15.75" customHeight="1">
      <c r="D624" s="53"/>
      <c r="E624" s="53"/>
    </row>
    <row r="625" ht="15.75" customHeight="1">
      <c r="D625" s="53"/>
      <c r="E625" s="53"/>
    </row>
    <row r="626" ht="15.75" customHeight="1">
      <c r="D626" s="53"/>
      <c r="E626" s="53"/>
    </row>
    <row r="627" ht="15.75" customHeight="1">
      <c r="D627" s="53"/>
      <c r="E627" s="53"/>
    </row>
    <row r="628" ht="15.75" customHeight="1">
      <c r="D628" s="53"/>
      <c r="E628" s="53"/>
    </row>
    <row r="629" ht="15.75" customHeight="1">
      <c r="D629" s="53"/>
      <c r="E629" s="53"/>
    </row>
    <row r="630" ht="15.75" customHeight="1">
      <c r="D630" s="53"/>
      <c r="E630" s="53"/>
    </row>
    <row r="631" ht="15.75" customHeight="1">
      <c r="D631" s="53"/>
      <c r="E631" s="53"/>
    </row>
    <row r="632" ht="15.75" customHeight="1">
      <c r="D632" s="53"/>
      <c r="E632" s="53"/>
    </row>
    <row r="633" ht="15.75" customHeight="1">
      <c r="D633" s="53"/>
      <c r="E633" s="53"/>
    </row>
    <row r="634" ht="15.75" customHeight="1">
      <c r="D634" s="53"/>
      <c r="E634" s="53"/>
    </row>
    <row r="635" ht="15.75" customHeight="1">
      <c r="D635" s="53"/>
      <c r="E635" s="53"/>
    </row>
    <row r="636" ht="15.75" customHeight="1">
      <c r="D636" s="53"/>
      <c r="E636" s="53"/>
    </row>
    <row r="637" ht="15.75" customHeight="1">
      <c r="D637" s="53"/>
      <c r="E637" s="53"/>
    </row>
    <row r="638" ht="15.75" customHeight="1">
      <c r="D638" s="53"/>
      <c r="E638" s="53"/>
    </row>
    <row r="639" ht="15.75" customHeight="1">
      <c r="D639" s="53"/>
      <c r="E639" s="53"/>
    </row>
    <row r="640" ht="15.75" customHeight="1">
      <c r="D640" s="53"/>
      <c r="E640" s="53"/>
    </row>
    <row r="641" ht="15.75" customHeight="1">
      <c r="D641" s="53"/>
      <c r="E641" s="53"/>
    </row>
    <row r="642" ht="15.75" customHeight="1">
      <c r="D642" s="53"/>
      <c r="E642" s="53"/>
    </row>
    <row r="643" ht="15.75" customHeight="1">
      <c r="D643" s="53"/>
      <c r="E643" s="53"/>
    </row>
    <row r="644" ht="15.75" customHeight="1">
      <c r="D644" s="53"/>
      <c r="E644" s="53"/>
    </row>
    <row r="645" ht="15.75" customHeight="1">
      <c r="D645" s="53"/>
      <c r="E645" s="53"/>
    </row>
    <row r="646" ht="15.75" customHeight="1">
      <c r="D646" s="53"/>
      <c r="E646" s="53"/>
    </row>
    <row r="647" ht="15.75" customHeight="1">
      <c r="D647" s="53"/>
      <c r="E647" s="53"/>
    </row>
    <row r="648" ht="15.75" customHeight="1">
      <c r="D648" s="53"/>
      <c r="E648" s="53"/>
    </row>
    <row r="649" ht="15.75" customHeight="1">
      <c r="D649" s="53"/>
      <c r="E649" s="53"/>
    </row>
    <row r="650" ht="15.75" customHeight="1">
      <c r="D650" s="53"/>
      <c r="E650" s="53"/>
    </row>
    <row r="651" ht="15.75" customHeight="1">
      <c r="D651" s="53"/>
      <c r="E651" s="53"/>
    </row>
    <row r="652" ht="15.75" customHeight="1">
      <c r="D652" s="53"/>
      <c r="E652" s="53"/>
    </row>
    <row r="653" ht="15.75" customHeight="1">
      <c r="D653" s="53"/>
      <c r="E653" s="53"/>
    </row>
    <row r="654" ht="15.75" customHeight="1">
      <c r="D654" s="53"/>
      <c r="E654" s="53"/>
    </row>
    <row r="655" ht="15.75" customHeight="1">
      <c r="D655" s="53"/>
      <c r="E655" s="53"/>
    </row>
    <row r="656" ht="15.75" customHeight="1">
      <c r="D656" s="53"/>
      <c r="E656" s="53"/>
    </row>
    <row r="657" ht="15.75" customHeight="1">
      <c r="D657" s="53"/>
      <c r="E657" s="53"/>
    </row>
    <row r="658" ht="15.75" customHeight="1">
      <c r="D658" s="53"/>
      <c r="E658" s="53"/>
    </row>
    <row r="659" ht="15.75" customHeight="1">
      <c r="D659" s="53"/>
      <c r="E659" s="53"/>
    </row>
    <row r="660" ht="15.75" customHeight="1">
      <c r="D660" s="53"/>
      <c r="E660" s="53"/>
    </row>
    <row r="661" ht="15.75" customHeight="1">
      <c r="D661" s="53"/>
      <c r="E661" s="53"/>
    </row>
    <row r="662" ht="15.75" customHeight="1">
      <c r="D662" s="53"/>
      <c r="E662" s="53"/>
    </row>
    <row r="663" ht="15.75" customHeight="1">
      <c r="D663" s="53"/>
      <c r="E663" s="53"/>
    </row>
    <row r="664" ht="15.75" customHeight="1">
      <c r="D664" s="53"/>
      <c r="E664" s="53"/>
    </row>
    <row r="665" ht="15.75" customHeight="1">
      <c r="D665" s="53"/>
      <c r="E665" s="53"/>
    </row>
    <row r="666" ht="15.75" customHeight="1">
      <c r="D666" s="53"/>
      <c r="E666" s="53"/>
    </row>
    <row r="667" ht="15.75" customHeight="1">
      <c r="D667" s="53"/>
      <c r="E667" s="53"/>
    </row>
    <row r="668" ht="15.75" customHeight="1">
      <c r="D668" s="53"/>
      <c r="E668" s="53"/>
    </row>
    <row r="669" ht="15.75" customHeight="1">
      <c r="D669" s="53"/>
      <c r="E669" s="53"/>
    </row>
    <row r="670" ht="15.75" customHeight="1">
      <c r="D670" s="53"/>
      <c r="E670" s="53"/>
    </row>
    <row r="671" ht="15.75" customHeight="1">
      <c r="D671" s="53"/>
      <c r="E671" s="53"/>
    </row>
    <row r="672" ht="15.75" customHeight="1">
      <c r="D672" s="53"/>
      <c r="E672" s="53"/>
    </row>
    <row r="673" ht="15.75" customHeight="1">
      <c r="D673" s="53"/>
      <c r="E673" s="53"/>
    </row>
    <row r="674" ht="15.75" customHeight="1">
      <c r="D674" s="53"/>
      <c r="E674" s="53"/>
    </row>
    <row r="675" ht="15.75" customHeight="1">
      <c r="D675" s="53"/>
      <c r="E675" s="53"/>
    </row>
    <row r="676" ht="15.75" customHeight="1">
      <c r="D676" s="53"/>
      <c r="E676" s="53"/>
    </row>
    <row r="677" ht="15.75" customHeight="1">
      <c r="D677" s="53"/>
      <c r="E677" s="53"/>
    </row>
    <row r="678" ht="15.75" customHeight="1">
      <c r="D678" s="53"/>
      <c r="E678" s="53"/>
    </row>
    <row r="679" ht="15.75" customHeight="1">
      <c r="D679" s="53"/>
      <c r="E679" s="53"/>
    </row>
    <row r="680" ht="15.75" customHeight="1">
      <c r="D680" s="53"/>
      <c r="E680" s="53"/>
    </row>
    <row r="681" ht="15.75" customHeight="1">
      <c r="D681" s="53"/>
      <c r="E681" s="53"/>
    </row>
    <row r="682" ht="15.75" customHeight="1">
      <c r="D682" s="53"/>
      <c r="E682" s="53"/>
    </row>
    <row r="683" ht="15.75" customHeight="1">
      <c r="D683" s="53"/>
      <c r="E683" s="53"/>
    </row>
    <row r="684" ht="15.75" customHeight="1">
      <c r="D684" s="53"/>
      <c r="E684" s="53"/>
    </row>
    <row r="685" ht="15.75" customHeight="1">
      <c r="D685" s="53"/>
      <c r="E685" s="53"/>
    </row>
    <row r="686" ht="15.75" customHeight="1">
      <c r="D686" s="53"/>
      <c r="E686" s="53"/>
    </row>
    <row r="687" ht="15.75" customHeight="1">
      <c r="D687" s="53"/>
      <c r="E687" s="53"/>
    </row>
    <row r="688" ht="15.75" customHeight="1">
      <c r="D688" s="53"/>
      <c r="E688" s="53"/>
    </row>
    <row r="689" ht="15.75" customHeight="1">
      <c r="D689" s="53"/>
      <c r="E689" s="53"/>
    </row>
    <row r="690" ht="15.75" customHeight="1">
      <c r="D690" s="53"/>
      <c r="E690" s="53"/>
    </row>
    <row r="691" ht="15.75" customHeight="1">
      <c r="D691" s="53"/>
      <c r="E691" s="53"/>
    </row>
    <row r="692" ht="15.75" customHeight="1">
      <c r="D692" s="53"/>
      <c r="E692" s="53"/>
    </row>
    <row r="693" ht="15.75" customHeight="1">
      <c r="D693" s="53"/>
      <c r="E693" s="53"/>
    </row>
    <row r="694" ht="15.75" customHeight="1">
      <c r="D694" s="53"/>
      <c r="E694" s="53"/>
    </row>
    <row r="695" ht="15.75" customHeight="1">
      <c r="D695" s="53"/>
      <c r="E695" s="53"/>
    </row>
    <row r="696" ht="15.75" customHeight="1">
      <c r="D696" s="53"/>
      <c r="E696" s="53"/>
    </row>
    <row r="697" ht="15.75" customHeight="1">
      <c r="D697" s="53"/>
      <c r="E697" s="53"/>
    </row>
    <row r="698" ht="15.75" customHeight="1">
      <c r="D698" s="53"/>
      <c r="E698" s="53"/>
    </row>
    <row r="699" ht="15.75" customHeight="1">
      <c r="D699" s="53"/>
      <c r="E699" s="53"/>
    </row>
    <row r="700" ht="15.75" customHeight="1">
      <c r="D700" s="53"/>
      <c r="E700" s="53"/>
    </row>
    <row r="701" ht="15.75" customHeight="1">
      <c r="D701" s="53"/>
      <c r="E701" s="53"/>
    </row>
    <row r="702" ht="15.75" customHeight="1">
      <c r="D702" s="53"/>
      <c r="E702" s="53"/>
    </row>
    <row r="703" ht="15.75" customHeight="1">
      <c r="D703" s="53"/>
      <c r="E703" s="53"/>
    </row>
    <row r="704" ht="15.75" customHeight="1">
      <c r="D704" s="53"/>
      <c r="E704" s="53"/>
    </row>
    <row r="705" ht="15.75" customHeight="1">
      <c r="D705" s="53"/>
      <c r="E705" s="53"/>
    </row>
    <row r="706" ht="15.75" customHeight="1">
      <c r="D706" s="53"/>
      <c r="E706" s="53"/>
    </row>
    <row r="707" ht="15.75" customHeight="1">
      <c r="D707" s="53"/>
      <c r="E707" s="53"/>
    </row>
    <row r="708" ht="15.75" customHeight="1">
      <c r="D708" s="53"/>
      <c r="E708" s="53"/>
    </row>
    <row r="709" ht="15.75" customHeight="1">
      <c r="D709" s="53"/>
      <c r="E709" s="53"/>
    </row>
    <row r="710" ht="15.75" customHeight="1">
      <c r="D710" s="53"/>
      <c r="E710" s="53"/>
    </row>
    <row r="711" ht="15.75" customHeight="1">
      <c r="D711" s="53"/>
      <c r="E711" s="53"/>
    </row>
    <row r="712" ht="15.75" customHeight="1">
      <c r="D712" s="53"/>
      <c r="E712" s="53"/>
    </row>
    <row r="713" ht="15.75" customHeight="1">
      <c r="D713" s="53"/>
      <c r="E713" s="53"/>
    </row>
    <row r="714" ht="15.75" customHeight="1">
      <c r="D714" s="53"/>
      <c r="E714" s="53"/>
    </row>
    <row r="715" ht="15.75" customHeight="1">
      <c r="D715" s="53"/>
      <c r="E715" s="53"/>
    </row>
    <row r="716" ht="15.75" customHeight="1">
      <c r="D716" s="53"/>
      <c r="E716" s="53"/>
    </row>
    <row r="717" ht="15.75" customHeight="1">
      <c r="D717" s="53"/>
      <c r="E717" s="53"/>
    </row>
    <row r="718" ht="15.75" customHeight="1">
      <c r="D718" s="53"/>
      <c r="E718" s="53"/>
    </row>
    <row r="719" ht="15.75" customHeight="1">
      <c r="D719" s="53"/>
      <c r="E719" s="53"/>
    </row>
    <row r="720" ht="15.75" customHeight="1">
      <c r="D720" s="53"/>
      <c r="E720" s="53"/>
    </row>
    <row r="721" ht="15.75" customHeight="1">
      <c r="D721" s="53"/>
      <c r="E721" s="53"/>
    </row>
    <row r="722" ht="15.75" customHeight="1">
      <c r="D722" s="53"/>
      <c r="E722" s="53"/>
    </row>
    <row r="723" ht="15.75" customHeight="1">
      <c r="D723" s="53"/>
      <c r="E723" s="53"/>
    </row>
    <row r="724" ht="15.75" customHeight="1">
      <c r="D724" s="53"/>
      <c r="E724" s="53"/>
    </row>
    <row r="725" ht="15.75" customHeight="1">
      <c r="D725" s="53"/>
      <c r="E725" s="53"/>
    </row>
    <row r="726" ht="15.75" customHeight="1">
      <c r="D726" s="53"/>
      <c r="E726" s="53"/>
    </row>
    <row r="727" ht="15.75" customHeight="1">
      <c r="D727" s="53"/>
      <c r="E727" s="53"/>
    </row>
    <row r="728" ht="15.75" customHeight="1">
      <c r="D728" s="53"/>
      <c r="E728" s="53"/>
    </row>
    <row r="729" ht="15.75" customHeight="1">
      <c r="D729" s="53"/>
      <c r="E729" s="53"/>
    </row>
    <row r="730" ht="15.75" customHeight="1">
      <c r="D730" s="53"/>
      <c r="E730" s="53"/>
    </row>
    <row r="731" ht="15.75" customHeight="1">
      <c r="D731" s="53"/>
      <c r="E731" s="53"/>
    </row>
    <row r="732" ht="15.75" customHeight="1">
      <c r="D732" s="53"/>
      <c r="E732" s="53"/>
    </row>
    <row r="733" ht="15.75" customHeight="1">
      <c r="D733" s="53"/>
      <c r="E733" s="53"/>
    </row>
    <row r="734" ht="15.75" customHeight="1">
      <c r="D734" s="53"/>
      <c r="E734" s="53"/>
    </row>
    <row r="735" ht="15.75" customHeight="1">
      <c r="D735" s="53"/>
      <c r="E735" s="53"/>
    </row>
    <row r="736" ht="15.75" customHeight="1">
      <c r="D736" s="53"/>
      <c r="E736" s="53"/>
    </row>
    <row r="737" ht="15.75" customHeight="1">
      <c r="D737" s="53"/>
      <c r="E737" s="53"/>
    </row>
    <row r="738" ht="15.75" customHeight="1">
      <c r="D738" s="53"/>
      <c r="E738" s="53"/>
    </row>
    <row r="739" ht="15.75" customHeight="1">
      <c r="D739" s="53"/>
      <c r="E739" s="53"/>
    </row>
    <row r="740" ht="15.75" customHeight="1">
      <c r="D740" s="53"/>
      <c r="E740" s="53"/>
    </row>
    <row r="741" ht="15.75" customHeight="1">
      <c r="D741" s="53"/>
      <c r="E741" s="53"/>
    </row>
    <row r="742" ht="15.75" customHeight="1">
      <c r="D742" s="53"/>
      <c r="E742" s="53"/>
    </row>
    <row r="743" ht="15.75" customHeight="1">
      <c r="D743" s="53"/>
      <c r="E743" s="53"/>
    </row>
    <row r="744" ht="15.75" customHeight="1">
      <c r="D744" s="53"/>
      <c r="E744" s="53"/>
    </row>
    <row r="745" ht="15.75" customHeight="1">
      <c r="D745" s="53"/>
      <c r="E745" s="53"/>
    </row>
    <row r="746" ht="15.75" customHeight="1">
      <c r="D746" s="53"/>
      <c r="E746" s="53"/>
    </row>
    <row r="747" ht="15.75" customHeight="1">
      <c r="D747" s="53"/>
      <c r="E747" s="53"/>
    </row>
    <row r="748" ht="15.75" customHeight="1">
      <c r="D748" s="53"/>
      <c r="E748" s="53"/>
    </row>
    <row r="749" ht="15.75" customHeight="1">
      <c r="D749" s="53"/>
      <c r="E749" s="53"/>
    </row>
    <row r="750" ht="15.75" customHeight="1">
      <c r="D750" s="53"/>
      <c r="E750" s="53"/>
    </row>
    <row r="751" ht="15.75" customHeight="1">
      <c r="D751" s="53"/>
      <c r="E751" s="53"/>
    </row>
    <row r="752" ht="15.75" customHeight="1">
      <c r="D752" s="53"/>
      <c r="E752" s="53"/>
    </row>
    <row r="753" ht="15.75" customHeight="1">
      <c r="D753" s="53"/>
      <c r="E753" s="53"/>
    </row>
    <row r="754" ht="15.75" customHeight="1">
      <c r="D754" s="53"/>
      <c r="E754" s="53"/>
    </row>
    <row r="755" ht="15.75" customHeight="1">
      <c r="D755" s="53"/>
      <c r="E755" s="53"/>
    </row>
    <row r="756" ht="15.75" customHeight="1">
      <c r="D756" s="53"/>
      <c r="E756" s="53"/>
    </row>
    <row r="757" ht="15.75" customHeight="1">
      <c r="D757" s="53"/>
      <c r="E757" s="53"/>
    </row>
    <row r="758" ht="15.75" customHeight="1">
      <c r="D758" s="53"/>
      <c r="E758" s="53"/>
    </row>
    <row r="759" ht="15.75" customHeight="1">
      <c r="D759" s="53"/>
      <c r="E759" s="53"/>
    </row>
    <row r="760" ht="15.75" customHeight="1">
      <c r="D760" s="53"/>
      <c r="E760" s="53"/>
    </row>
    <row r="761" ht="15.75" customHeight="1">
      <c r="D761" s="53"/>
      <c r="E761" s="53"/>
    </row>
    <row r="762" ht="15.75" customHeight="1">
      <c r="D762" s="53"/>
      <c r="E762" s="53"/>
    </row>
    <row r="763" ht="15.75" customHeight="1">
      <c r="D763" s="53"/>
      <c r="E763" s="53"/>
    </row>
    <row r="764" ht="15.75" customHeight="1">
      <c r="D764" s="53"/>
      <c r="E764" s="53"/>
    </row>
    <row r="765" ht="15.75" customHeight="1">
      <c r="D765" s="53"/>
      <c r="E765" s="53"/>
    </row>
    <row r="766" ht="15.75" customHeight="1">
      <c r="D766" s="53"/>
      <c r="E766" s="53"/>
    </row>
    <row r="767" ht="15.75" customHeight="1">
      <c r="D767" s="53"/>
      <c r="E767" s="53"/>
    </row>
    <row r="768" ht="15.75" customHeight="1">
      <c r="D768" s="53"/>
      <c r="E768" s="53"/>
    </row>
    <row r="769" ht="15.75" customHeight="1">
      <c r="D769" s="53"/>
      <c r="E769" s="53"/>
    </row>
    <row r="770" ht="15.75" customHeight="1">
      <c r="D770" s="53"/>
      <c r="E770" s="53"/>
    </row>
    <row r="771" ht="15.75" customHeight="1">
      <c r="D771" s="53"/>
      <c r="E771" s="53"/>
    </row>
    <row r="772" ht="15.75" customHeight="1">
      <c r="D772" s="53"/>
      <c r="E772" s="53"/>
    </row>
    <row r="773" ht="15.75" customHeight="1">
      <c r="D773" s="53"/>
      <c r="E773" s="53"/>
    </row>
    <row r="774" ht="15.75" customHeight="1">
      <c r="D774" s="53"/>
      <c r="E774" s="53"/>
    </row>
    <row r="775" ht="15.75" customHeight="1">
      <c r="D775" s="53"/>
      <c r="E775" s="53"/>
    </row>
    <row r="776" ht="15.75" customHeight="1">
      <c r="D776" s="53"/>
      <c r="E776" s="53"/>
    </row>
    <row r="777" ht="15.75" customHeight="1">
      <c r="D777" s="53"/>
      <c r="E777" s="53"/>
    </row>
    <row r="778" ht="15.75" customHeight="1">
      <c r="D778" s="53"/>
      <c r="E778" s="53"/>
    </row>
    <row r="779" ht="15.75" customHeight="1">
      <c r="D779" s="53"/>
      <c r="E779" s="53"/>
    </row>
    <row r="780" ht="15.75" customHeight="1">
      <c r="D780" s="53"/>
      <c r="E780" s="53"/>
    </row>
    <row r="781" ht="15.75" customHeight="1">
      <c r="D781" s="53"/>
      <c r="E781" s="53"/>
    </row>
    <row r="782" ht="15.75" customHeight="1">
      <c r="D782" s="53"/>
      <c r="E782" s="53"/>
    </row>
    <row r="783" ht="15.75" customHeight="1">
      <c r="D783" s="53"/>
      <c r="E783" s="53"/>
    </row>
    <row r="784" ht="15.75" customHeight="1">
      <c r="D784" s="53"/>
      <c r="E784" s="53"/>
    </row>
    <row r="785" ht="15.75" customHeight="1">
      <c r="D785" s="53"/>
      <c r="E785" s="53"/>
    </row>
    <row r="786" ht="15.75" customHeight="1">
      <c r="D786" s="53"/>
      <c r="E786" s="53"/>
    </row>
    <row r="787" ht="15.75" customHeight="1">
      <c r="D787" s="53"/>
      <c r="E787" s="53"/>
    </row>
    <row r="788" ht="15.75" customHeight="1">
      <c r="D788" s="53"/>
      <c r="E788" s="53"/>
    </row>
    <row r="789" ht="15.75" customHeight="1">
      <c r="D789" s="53"/>
      <c r="E789" s="53"/>
    </row>
    <row r="790" ht="15.75" customHeight="1">
      <c r="D790" s="53"/>
      <c r="E790" s="53"/>
    </row>
    <row r="791" ht="15.75" customHeight="1">
      <c r="D791" s="53"/>
      <c r="E791" s="53"/>
    </row>
    <row r="792" ht="15.75" customHeight="1">
      <c r="D792" s="53"/>
      <c r="E792" s="53"/>
    </row>
    <row r="793" ht="15.75" customHeight="1">
      <c r="D793" s="53"/>
      <c r="E793" s="53"/>
    </row>
    <row r="794" ht="15.75" customHeight="1">
      <c r="D794" s="53"/>
      <c r="E794" s="53"/>
    </row>
    <row r="795" ht="15.75" customHeight="1">
      <c r="D795" s="53"/>
      <c r="E795" s="53"/>
    </row>
    <row r="796" ht="15.75" customHeight="1">
      <c r="D796" s="53"/>
      <c r="E796" s="53"/>
    </row>
    <row r="797" ht="15.75" customHeight="1">
      <c r="D797" s="53"/>
      <c r="E797" s="53"/>
    </row>
    <row r="798" ht="15.75" customHeight="1">
      <c r="D798" s="53"/>
      <c r="E798" s="53"/>
    </row>
    <row r="799" ht="15.75" customHeight="1">
      <c r="D799" s="53"/>
      <c r="E799" s="53"/>
    </row>
    <row r="800" ht="15.75" customHeight="1">
      <c r="D800" s="53"/>
      <c r="E800" s="53"/>
    </row>
    <row r="801" ht="15.75" customHeight="1">
      <c r="D801" s="53"/>
      <c r="E801" s="53"/>
    </row>
    <row r="802" ht="15.75" customHeight="1">
      <c r="D802" s="53"/>
      <c r="E802" s="53"/>
    </row>
    <row r="803" ht="15.75" customHeight="1">
      <c r="D803" s="53"/>
      <c r="E803" s="53"/>
    </row>
    <row r="804" ht="15.75" customHeight="1">
      <c r="D804" s="53"/>
      <c r="E804" s="53"/>
    </row>
    <row r="805" ht="15.75" customHeight="1">
      <c r="D805" s="53"/>
      <c r="E805" s="53"/>
    </row>
    <row r="806" ht="15.75" customHeight="1">
      <c r="D806" s="53"/>
      <c r="E806" s="53"/>
    </row>
    <row r="807" ht="15.75" customHeight="1">
      <c r="D807" s="53"/>
      <c r="E807" s="53"/>
    </row>
    <row r="808" ht="15.75" customHeight="1">
      <c r="D808" s="53"/>
      <c r="E808" s="53"/>
    </row>
    <row r="809" ht="15.75" customHeight="1">
      <c r="D809" s="53"/>
      <c r="E809" s="53"/>
    </row>
    <row r="810" ht="15.75" customHeight="1">
      <c r="D810" s="53"/>
      <c r="E810" s="53"/>
    </row>
    <row r="811" ht="15.75" customHeight="1">
      <c r="D811" s="53"/>
      <c r="E811" s="53"/>
    </row>
    <row r="812" ht="15.75" customHeight="1">
      <c r="D812" s="53"/>
      <c r="E812" s="53"/>
    </row>
    <row r="813" ht="15.75" customHeight="1">
      <c r="D813" s="53"/>
      <c r="E813" s="53"/>
    </row>
    <row r="814" ht="15.75" customHeight="1">
      <c r="D814" s="53"/>
      <c r="E814" s="53"/>
    </row>
    <row r="815" ht="15.75" customHeight="1">
      <c r="D815" s="53"/>
      <c r="E815" s="53"/>
    </row>
    <row r="816" ht="15.75" customHeight="1">
      <c r="D816" s="53"/>
      <c r="E816" s="53"/>
    </row>
    <row r="817" ht="15.75" customHeight="1">
      <c r="D817" s="53"/>
      <c r="E817" s="53"/>
    </row>
    <row r="818" ht="15.75" customHeight="1">
      <c r="D818" s="53"/>
      <c r="E818" s="53"/>
    </row>
    <row r="819" ht="15.75" customHeight="1">
      <c r="D819" s="53"/>
      <c r="E819" s="53"/>
    </row>
    <row r="820" ht="15.75" customHeight="1">
      <c r="D820" s="53"/>
      <c r="E820" s="53"/>
    </row>
    <row r="821" ht="15.75" customHeight="1">
      <c r="D821" s="53"/>
      <c r="E821" s="53"/>
    </row>
    <row r="822" ht="15.75" customHeight="1">
      <c r="D822" s="53"/>
      <c r="E822" s="53"/>
    </row>
    <row r="823" ht="15.75" customHeight="1">
      <c r="D823" s="53"/>
      <c r="E823" s="53"/>
    </row>
    <row r="824" ht="15.75" customHeight="1">
      <c r="D824" s="53"/>
      <c r="E824" s="53"/>
    </row>
    <row r="825" ht="15.75" customHeight="1">
      <c r="D825" s="53"/>
      <c r="E825" s="53"/>
    </row>
    <row r="826" ht="15.75" customHeight="1">
      <c r="D826" s="53"/>
      <c r="E826" s="53"/>
    </row>
    <row r="827" ht="15.75" customHeight="1">
      <c r="D827" s="53"/>
      <c r="E827" s="53"/>
    </row>
    <row r="828" ht="15.75" customHeight="1">
      <c r="D828" s="53"/>
      <c r="E828" s="53"/>
    </row>
    <row r="829" ht="15.75" customHeight="1">
      <c r="D829" s="53"/>
      <c r="E829" s="53"/>
    </row>
    <row r="830" ht="15.75" customHeight="1">
      <c r="D830" s="53"/>
      <c r="E830" s="53"/>
    </row>
    <row r="831" ht="15.75" customHeight="1">
      <c r="D831" s="53"/>
      <c r="E831" s="53"/>
    </row>
    <row r="832" ht="15.75" customHeight="1">
      <c r="D832" s="53"/>
      <c r="E832" s="53"/>
    </row>
    <row r="833" ht="15.75" customHeight="1">
      <c r="D833" s="53"/>
      <c r="E833" s="53"/>
    </row>
    <row r="834" ht="15.75" customHeight="1">
      <c r="D834" s="53"/>
      <c r="E834" s="53"/>
    </row>
    <row r="835" ht="15.75" customHeight="1">
      <c r="D835" s="53"/>
      <c r="E835" s="53"/>
    </row>
    <row r="836" ht="15.75" customHeight="1">
      <c r="D836" s="53"/>
      <c r="E836" s="53"/>
    </row>
    <row r="837" ht="15.75" customHeight="1">
      <c r="D837" s="53"/>
      <c r="E837" s="53"/>
    </row>
    <row r="838" ht="15.75" customHeight="1">
      <c r="D838" s="53"/>
      <c r="E838" s="53"/>
    </row>
    <row r="839" ht="15.75" customHeight="1">
      <c r="D839" s="53"/>
      <c r="E839" s="53"/>
    </row>
    <row r="840" ht="15.75" customHeight="1">
      <c r="D840" s="53"/>
      <c r="E840" s="53"/>
    </row>
    <row r="841" ht="15.75" customHeight="1">
      <c r="D841" s="53"/>
      <c r="E841" s="53"/>
    </row>
    <row r="842" ht="15.75" customHeight="1">
      <c r="D842" s="53"/>
      <c r="E842" s="53"/>
    </row>
    <row r="843" ht="15.75" customHeight="1">
      <c r="D843" s="53"/>
      <c r="E843" s="53"/>
    </row>
    <row r="844" ht="15.75" customHeight="1">
      <c r="D844" s="53"/>
      <c r="E844" s="53"/>
    </row>
    <row r="845" ht="15.75" customHeight="1">
      <c r="D845" s="53"/>
      <c r="E845" s="53"/>
    </row>
    <row r="846" ht="15.75" customHeight="1">
      <c r="D846" s="53"/>
      <c r="E846" s="53"/>
    </row>
    <row r="847" ht="15.75" customHeight="1">
      <c r="D847" s="53"/>
      <c r="E847" s="53"/>
    </row>
    <row r="848" ht="15.75" customHeight="1">
      <c r="D848" s="53"/>
      <c r="E848" s="53"/>
    </row>
    <row r="849" ht="15.75" customHeight="1">
      <c r="D849" s="53"/>
      <c r="E849" s="53"/>
    </row>
    <row r="850" ht="15.75" customHeight="1">
      <c r="D850" s="53"/>
      <c r="E850" s="53"/>
    </row>
    <row r="851" ht="15.75" customHeight="1">
      <c r="D851" s="53"/>
      <c r="E851" s="53"/>
    </row>
    <row r="852" ht="15.75" customHeight="1">
      <c r="D852" s="53"/>
      <c r="E852" s="53"/>
    </row>
    <row r="853" ht="15.75" customHeight="1">
      <c r="D853" s="53"/>
      <c r="E853" s="53"/>
    </row>
    <row r="854" ht="15.75" customHeight="1">
      <c r="D854" s="53"/>
      <c r="E854" s="53"/>
    </row>
    <row r="855" ht="15.75" customHeight="1">
      <c r="D855" s="53"/>
      <c r="E855" s="53"/>
    </row>
    <row r="856" ht="15.75" customHeight="1">
      <c r="D856" s="53"/>
      <c r="E856" s="53"/>
    </row>
    <row r="857" ht="15.75" customHeight="1">
      <c r="D857" s="53"/>
      <c r="E857" s="53"/>
    </row>
    <row r="858" ht="15.75" customHeight="1">
      <c r="D858" s="53"/>
      <c r="E858" s="53"/>
    </row>
    <row r="859" ht="15.75" customHeight="1">
      <c r="D859" s="53"/>
      <c r="E859" s="53"/>
    </row>
    <row r="860" ht="15.75" customHeight="1">
      <c r="D860" s="53"/>
      <c r="E860" s="53"/>
    </row>
    <row r="861" ht="15.75" customHeight="1">
      <c r="D861" s="53"/>
      <c r="E861" s="53"/>
    </row>
    <row r="862" ht="15.75" customHeight="1">
      <c r="D862" s="53"/>
      <c r="E862" s="53"/>
    </row>
    <row r="863" ht="15.75" customHeight="1">
      <c r="D863" s="53"/>
      <c r="E863" s="53"/>
    </row>
    <row r="864" ht="15.75" customHeight="1">
      <c r="D864" s="53"/>
      <c r="E864" s="53"/>
    </row>
    <row r="865" ht="15.75" customHeight="1">
      <c r="D865" s="53"/>
      <c r="E865" s="53"/>
    </row>
    <row r="866" ht="15.75" customHeight="1">
      <c r="D866" s="53"/>
      <c r="E866" s="53"/>
    </row>
    <row r="867" ht="15.75" customHeight="1">
      <c r="D867" s="53"/>
      <c r="E867" s="53"/>
    </row>
    <row r="868" ht="15.75" customHeight="1">
      <c r="D868" s="53"/>
      <c r="E868" s="53"/>
    </row>
    <row r="869" ht="15.75" customHeight="1">
      <c r="D869" s="53"/>
      <c r="E869" s="53"/>
    </row>
    <row r="870" ht="15.75" customHeight="1">
      <c r="D870" s="53"/>
      <c r="E870" s="53"/>
    </row>
    <row r="871" ht="15.75" customHeight="1">
      <c r="D871" s="53"/>
      <c r="E871" s="53"/>
    </row>
    <row r="872" ht="15.75" customHeight="1">
      <c r="D872" s="53"/>
      <c r="E872" s="53"/>
    </row>
    <row r="873" ht="15.75" customHeight="1">
      <c r="D873" s="53"/>
      <c r="E873" s="53"/>
    </row>
    <row r="874" ht="15.75" customHeight="1">
      <c r="D874" s="53"/>
      <c r="E874" s="53"/>
    </row>
    <row r="875" ht="15.75" customHeight="1">
      <c r="D875" s="53"/>
      <c r="E875" s="53"/>
    </row>
    <row r="876" ht="15.75" customHeight="1">
      <c r="D876" s="53"/>
      <c r="E876" s="53"/>
    </row>
    <row r="877" ht="15.75" customHeight="1">
      <c r="D877" s="53"/>
      <c r="E877" s="53"/>
    </row>
    <row r="878" ht="15.75" customHeight="1">
      <c r="D878" s="53"/>
      <c r="E878" s="53"/>
    </row>
    <row r="879" ht="15.75" customHeight="1">
      <c r="D879" s="53"/>
      <c r="E879" s="53"/>
    </row>
    <row r="880" ht="15.75" customHeight="1">
      <c r="D880" s="53"/>
      <c r="E880" s="53"/>
    </row>
    <row r="881" ht="15.75" customHeight="1">
      <c r="D881" s="53"/>
      <c r="E881" s="53"/>
    </row>
    <row r="882" ht="15.75" customHeight="1">
      <c r="D882" s="53"/>
      <c r="E882" s="53"/>
    </row>
    <row r="883" ht="15.75" customHeight="1">
      <c r="D883" s="53"/>
      <c r="E883" s="53"/>
    </row>
    <row r="884" ht="15.75" customHeight="1">
      <c r="D884" s="53"/>
      <c r="E884" s="53"/>
    </row>
    <row r="885" ht="15.75" customHeight="1">
      <c r="D885" s="53"/>
      <c r="E885" s="53"/>
    </row>
    <row r="886" ht="15.75" customHeight="1">
      <c r="D886" s="53"/>
      <c r="E886" s="53"/>
    </row>
    <row r="887" ht="15.75" customHeight="1">
      <c r="D887" s="53"/>
      <c r="E887" s="53"/>
    </row>
    <row r="888" ht="15.75" customHeight="1">
      <c r="D888" s="53"/>
      <c r="E888" s="53"/>
    </row>
    <row r="889" ht="15.75" customHeight="1">
      <c r="D889" s="53"/>
      <c r="E889" s="53"/>
    </row>
    <row r="890" ht="15.75" customHeight="1">
      <c r="D890" s="53"/>
      <c r="E890" s="53"/>
    </row>
    <row r="891" ht="15.75" customHeight="1">
      <c r="D891" s="53"/>
      <c r="E891" s="53"/>
    </row>
    <row r="892" ht="15.75" customHeight="1">
      <c r="D892" s="53"/>
      <c r="E892" s="53"/>
    </row>
    <row r="893" ht="15.75" customHeight="1">
      <c r="D893" s="53"/>
      <c r="E893" s="53"/>
    </row>
    <row r="894" ht="15.75" customHeight="1">
      <c r="D894" s="53"/>
      <c r="E894" s="53"/>
    </row>
    <row r="895" ht="15.75" customHeight="1">
      <c r="D895" s="53"/>
      <c r="E895" s="53"/>
    </row>
    <row r="896" ht="15.75" customHeight="1">
      <c r="D896" s="53"/>
      <c r="E896" s="53"/>
    </row>
    <row r="897" ht="15.75" customHeight="1">
      <c r="D897" s="53"/>
      <c r="E897" s="53"/>
    </row>
    <row r="898" ht="15.75" customHeight="1">
      <c r="D898" s="53"/>
      <c r="E898" s="53"/>
    </row>
    <row r="899" ht="15.75" customHeight="1">
      <c r="D899" s="53"/>
      <c r="E899" s="53"/>
    </row>
    <row r="900" ht="15.75" customHeight="1">
      <c r="D900" s="53"/>
      <c r="E900" s="53"/>
    </row>
    <row r="901" ht="15.75" customHeight="1">
      <c r="D901" s="53"/>
      <c r="E901" s="53"/>
    </row>
    <row r="902" ht="15.75" customHeight="1">
      <c r="D902" s="53"/>
      <c r="E902" s="53"/>
    </row>
    <row r="903" ht="15.75" customHeight="1">
      <c r="D903" s="53"/>
      <c r="E903" s="53"/>
    </row>
    <row r="904" ht="15.75" customHeight="1">
      <c r="D904" s="53"/>
      <c r="E904" s="53"/>
    </row>
    <row r="905" ht="15.75" customHeight="1">
      <c r="D905" s="53"/>
      <c r="E905" s="53"/>
    </row>
    <row r="906" ht="15.75" customHeight="1">
      <c r="D906" s="53"/>
      <c r="E906" s="53"/>
    </row>
    <row r="907" ht="15.75" customHeight="1">
      <c r="D907" s="53"/>
      <c r="E907" s="53"/>
    </row>
    <row r="908" ht="15.75" customHeight="1">
      <c r="D908" s="53"/>
      <c r="E908" s="53"/>
    </row>
    <row r="909" ht="15.75" customHeight="1">
      <c r="D909" s="53"/>
      <c r="E909" s="53"/>
    </row>
    <row r="910" ht="15.75" customHeight="1">
      <c r="D910" s="53"/>
      <c r="E910" s="53"/>
    </row>
    <row r="911" ht="15.75" customHeight="1">
      <c r="D911" s="53"/>
      <c r="E911" s="53"/>
    </row>
    <row r="912" ht="15.75" customHeight="1">
      <c r="D912" s="53"/>
      <c r="E912" s="53"/>
    </row>
    <row r="913" ht="15.75" customHeight="1">
      <c r="D913" s="53"/>
      <c r="E913" s="53"/>
    </row>
    <row r="914" ht="15.75" customHeight="1">
      <c r="D914" s="53"/>
      <c r="E914" s="53"/>
    </row>
    <row r="915" ht="15.75" customHeight="1">
      <c r="D915" s="53"/>
      <c r="E915" s="53"/>
    </row>
    <row r="916" ht="15.75" customHeight="1">
      <c r="D916" s="53"/>
      <c r="E916" s="53"/>
    </row>
    <row r="917" ht="15.75" customHeight="1">
      <c r="D917" s="53"/>
      <c r="E917" s="53"/>
    </row>
    <row r="918" ht="15.75" customHeight="1">
      <c r="D918" s="53"/>
      <c r="E918" s="53"/>
    </row>
    <row r="919" ht="15.75" customHeight="1">
      <c r="D919" s="53"/>
      <c r="E919" s="53"/>
    </row>
    <row r="920" ht="15.75" customHeight="1">
      <c r="D920" s="53"/>
      <c r="E920" s="53"/>
    </row>
    <row r="921" ht="15.75" customHeight="1">
      <c r="D921" s="53"/>
      <c r="E921" s="53"/>
    </row>
    <row r="922" ht="15.75" customHeight="1">
      <c r="D922" s="53"/>
      <c r="E922" s="53"/>
    </row>
    <row r="923" ht="15.75" customHeight="1">
      <c r="D923" s="53"/>
      <c r="E923" s="53"/>
    </row>
    <row r="924" ht="15.75" customHeight="1">
      <c r="D924" s="53"/>
      <c r="E924" s="53"/>
    </row>
    <row r="925" ht="15.75" customHeight="1">
      <c r="D925" s="53"/>
      <c r="E925" s="53"/>
    </row>
    <row r="926" ht="15.75" customHeight="1">
      <c r="D926" s="53"/>
      <c r="E926" s="53"/>
    </row>
    <row r="927" ht="15.75" customHeight="1">
      <c r="D927" s="53"/>
      <c r="E927" s="53"/>
    </row>
    <row r="928" ht="15.75" customHeight="1">
      <c r="D928" s="53"/>
      <c r="E928" s="53"/>
    </row>
    <row r="929" ht="15.75" customHeight="1">
      <c r="D929" s="53"/>
      <c r="E929" s="53"/>
    </row>
    <row r="930" ht="15.75" customHeight="1">
      <c r="D930" s="53"/>
      <c r="E930" s="53"/>
    </row>
    <row r="931" ht="15.75" customHeight="1">
      <c r="D931" s="53"/>
      <c r="E931" s="53"/>
    </row>
    <row r="932" ht="15.75" customHeight="1">
      <c r="D932" s="53"/>
      <c r="E932" s="53"/>
    </row>
    <row r="933" ht="15.75" customHeight="1">
      <c r="D933" s="53"/>
      <c r="E933" s="53"/>
    </row>
    <row r="934" ht="15.75" customHeight="1">
      <c r="D934" s="53"/>
      <c r="E934" s="53"/>
    </row>
    <row r="935" ht="15.75" customHeight="1">
      <c r="D935" s="53"/>
      <c r="E935" s="53"/>
    </row>
    <row r="936" ht="15.75" customHeight="1">
      <c r="D936" s="53"/>
      <c r="E936" s="53"/>
    </row>
    <row r="937" ht="15.75" customHeight="1">
      <c r="D937" s="53"/>
      <c r="E937" s="53"/>
    </row>
    <row r="938" ht="15.75" customHeight="1">
      <c r="D938" s="53"/>
      <c r="E938" s="53"/>
    </row>
    <row r="939" ht="15.75" customHeight="1">
      <c r="D939" s="53"/>
      <c r="E939" s="53"/>
    </row>
    <row r="940" ht="15.75" customHeight="1">
      <c r="D940" s="53"/>
      <c r="E940" s="53"/>
    </row>
    <row r="941" ht="15.75" customHeight="1">
      <c r="D941" s="53"/>
      <c r="E941" s="53"/>
    </row>
    <row r="942" ht="15.75" customHeight="1">
      <c r="D942" s="53"/>
      <c r="E942" s="53"/>
    </row>
    <row r="943" ht="15.75" customHeight="1">
      <c r="D943" s="53"/>
      <c r="E943" s="53"/>
    </row>
    <row r="944" ht="15.75" customHeight="1">
      <c r="D944" s="53"/>
      <c r="E944" s="53"/>
    </row>
    <row r="945" ht="15.75" customHeight="1">
      <c r="D945" s="53"/>
      <c r="E945" s="53"/>
    </row>
    <row r="946" ht="15.75" customHeight="1">
      <c r="D946" s="53"/>
      <c r="E946" s="53"/>
    </row>
    <row r="947" ht="15.75" customHeight="1">
      <c r="D947" s="53"/>
      <c r="E947" s="53"/>
    </row>
    <row r="948" ht="15.75" customHeight="1">
      <c r="D948" s="53"/>
      <c r="E948" s="53"/>
    </row>
    <row r="949" ht="15.75" customHeight="1">
      <c r="D949" s="53"/>
      <c r="E949" s="53"/>
    </row>
    <row r="950" ht="15.75" customHeight="1">
      <c r="D950" s="53"/>
      <c r="E950" s="53"/>
    </row>
    <row r="951" ht="15.75" customHeight="1">
      <c r="D951" s="53"/>
      <c r="E951" s="53"/>
    </row>
    <row r="952" ht="15.75" customHeight="1">
      <c r="D952" s="53"/>
      <c r="E952" s="53"/>
    </row>
    <row r="953" ht="15.75" customHeight="1">
      <c r="D953" s="53"/>
      <c r="E953" s="53"/>
    </row>
    <row r="954" ht="15.75" customHeight="1">
      <c r="D954" s="53"/>
      <c r="E954" s="53"/>
    </row>
    <row r="955" ht="15.75" customHeight="1">
      <c r="D955" s="53"/>
      <c r="E955" s="53"/>
    </row>
    <row r="956" ht="15.75" customHeight="1">
      <c r="D956" s="53"/>
      <c r="E956" s="53"/>
    </row>
    <row r="957" ht="15.75" customHeight="1">
      <c r="D957" s="53"/>
      <c r="E957" s="53"/>
    </row>
    <row r="958" ht="15.75" customHeight="1">
      <c r="D958" s="53"/>
      <c r="E958" s="53"/>
    </row>
    <row r="959" ht="15.75" customHeight="1">
      <c r="D959" s="53"/>
      <c r="E959" s="53"/>
    </row>
    <row r="960" ht="15.75" customHeight="1">
      <c r="D960" s="53"/>
      <c r="E960" s="53"/>
    </row>
    <row r="961" ht="15.75" customHeight="1">
      <c r="D961" s="53"/>
      <c r="E961" s="53"/>
    </row>
    <row r="962" ht="15.75" customHeight="1">
      <c r="D962" s="53"/>
      <c r="E962" s="53"/>
    </row>
    <row r="963" ht="15.75" customHeight="1">
      <c r="D963" s="53"/>
      <c r="E963" s="53"/>
    </row>
    <row r="964" ht="15.75" customHeight="1">
      <c r="D964" s="53"/>
      <c r="E964" s="53"/>
    </row>
    <row r="965" ht="15.75" customHeight="1">
      <c r="D965" s="53"/>
      <c r="E965" s="53"/>
    </row>
    <row r="966" ht="15.75" customHeight="1">
      <c r="D966" s="53"/>
      <c r="E966" s="53"/>
    </row>
    <row r="967" ht="15.75" customHeight="1">
      <c r="D967" s="53"/>
      <c r="E967" s="53"/>
    </row>
    <row r="968" ht="15.75" customHeight="1">
      <c r="D968" s="53"/>
      <c r="E968" s="53"/>
    </row>
    <row r="969" ht="15.75" customHeight="1">
      <c r="D969" s="53"/>
      <c r="E969" s="53"/>
    </row>
    <row r="970" ht="15.75" customHeight="1">
      <c r="D970" s="53"/>
      <c r="E970" s="53"/>
    </row>
    <row r="971" ht="15.75" customHeight="1">
      <c r="D971" s="53"/>
      <c r="E971" s="53"/>
    </row>
    <row r="972" ht="15.75" customHeight="1">
      <c r="D972" s="53"/>
      <c r="E972" s="53"/>
    </row>
    <row r="973" ht="15.75" customHeight="1">
      <c r="D973" s="53"/>
      <c r="E973" s="53"/>
    </row>
    <row r="974" ht="15.75" customHeight="1">
      <c r="D974" s="53"/>
      <c r="E974" s="53"/>
    </row>
    <row r="975" ht="15.75" customHeight="1">
      <c r="D975" s="53"/>
      <c r="E975" s="53"/>
    </row>
    <row r="976" ht="15.75" customHeight="1">
      <c r="D976" s="53"/>
      <c r="E976" s="53"/>
    </row>
    <row r="977" ht="15.75" customHeight="1">
      <c r="D977" s="53"/>
      <c r="E977" s="53"/>
    </row>
    <row r="978" ht="15.75" customHeight="1">
      <c r="D978" s="53"/>
      <c r="E978" s="53"/>
    </row>
    <row r="979" ht="15.75" customHeight="1">
      <c r="D979" s="53"/>
      <c r="E979" s="53"/>
    </row>
    <row r="980" ht="15.75" customHeight="1">
      <c r="D980" s="53"/>
      <c r="E980" s="53"/>
    </row>
    <row r="981" ht="15.75" customHeight="1">
      <c r="D981" s="53"/>
      <c r="E981" s="53"/>
    </row>
    <row r="982" ht="15.75" customHeight="1">
      <c r="D982" s="53"/>
      <c r="E982" s="53"/>
    </row>
    <row r="983" ht="15.75" customHeight="1">
      <c r="D983" s="53"/>
      <c r="E983" s="53"/>
    </row>
    <row r="984" ht="15.75" customHeight="1">
      <c r="D984" s="53"/>
      <c r="E984" s="53"/>
    </row>
    <row r="985" ht="15.75" customHeight="1">
      <c r="D985" s="53"/>
      <c r="E985" s="53"/>
    </row>
    <row r="986" ht="15.75" customHeight="1">
      <c r="D986" s="53"/>
      <c r="E986" s="53"/>
    </row>
    <row r="987" ht="15.75" customHeight="1">
      <c r="D987" s="53"/>
      <c r="E987" s="53"/>
    </row>
    <row r="988" ht="15.75" customHeight="1">
      <c r="D988" s="53"/>
      <c r="E988" s="53"/>
    </row>
    <row r="989" ht="15.75" customHeight="1">
      <c r="D989" s="53"/>
      <c r="E989" s="53"/>
    </row>
    <row r="990" ht="15.75" customHeight="1">
      <c r="D990" s="53"/>
      <c r="E990" s="53"/>
    </row>
    <row r="991" ht="15.75" customHeight="1">
      <c r="D991" s="53"/>
      <c r="E991" s="53"/>
    </row>
    <row r="992" ht="15.75" customHeight="1">
      <c r="D992" s="53"/>
      <c r="E992" s="53"/>
    </row>
    <row r="993" ht="15.75" customHeight="1">
      <c r="D993" s="53"/>
      <c r="E993" s="53"/>
    </row>
    <row r="994" ht="15.75" customHeight="1">
      <c r="D994" s="53"/>
      <c r="E994" s="53"/>
    </row>
    <row r="995" ht="15.75" customHeight="1">
      <c r="D995" s="53"/>
      <c r="E995" s="53"/>
    </row>
    <row r="996" ht="15.75" customHeight="1">
      <c r="D996" s="53"/>
      <c r="E996" s="53"/>
    </row>
    <row r="997" ht="15.75" customHeight="1">
      <c r="D997" s="53"/>
      <c r="E997" s="53"/>
    </row>
    <row r="998" ht="15.75" customHeight="1">
      <c r="D998" s="53"/>
      <c r="E998" s="53"/>
    </row>
  </sheetData>
  <mergeCells count="5">
    <mergeCell ref="C2:E2"/>
    <mergeCell ref="B3:B4"/>
    <mergeCell ref="C3:C4"/>
    <mergeCell ref="D3:D4"/>
    <mergeCell ref="E3:E4"/>
  </mergeCells>
  <printOptions/>
  <pageMargins bottom="0.52" footer="0.0" header="0.0" left="0.57" right="0.31" top="0.4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72.88"/>
    <col customWidth="1" min="3" max="4" width="10.0"/>
    <col customWidth="1" min="5" max="6" width="9.13"/>
    <col customWidth="1" min="7" max="24" width="8.63"/>
  </cols>
  <sheetData>
    <row r="1" ht="12.7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 ht="12.75" customHeight="1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ht="12.75" customHeight="1">
      <c r="A3" s="24"/>
      <c r="B3" s="2" t="s">
        <v>22</v>
      </c>
      <c r="C3" s="3" t="s">
        <v>73</v>
      </c>
      <c r="D3" s="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ht="12.75" customHeight="1">
      <c r="A4" s="24"/>
      <c r="B4" s="6"/>
      <c r="C4" s="54">
        <v>2016.0</v>
      </c>
      <c r="D4" s="54">
        <v>2017.0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 ht="12.75" customHeight="1">
      <c r="A5" s="24"/>
      <c r="B5" s="55" t="s">
        <v>74</v>
      </c>
      <c r="C5" s="56">
        <v>1321426.9578313255</v>
      </c>
      <c r="D5" s="56">
        <v>1249622.9147358667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 ht="12.75" customHeight="1">
      <c r="A6" s="24"/>
      <c r="B6" s="57" t="s">
        <v>75</v>
      </c>
      <c r="C6" s="56">
        <v>1345.5746061167752</v>
      </c>
      <c r="D6" s="56">
        <v>1572.636700648749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</row>
    <row r="7" ht="12.75" customHeight="1">
      <c r="A7" s="24"/>
      <c r="B7" s="58" t="s">
        <v>76</v>
      </c>
      <c r="C7" s="59">
        <v>0.0</v>
      </c>
      <c r="D7" s="59">
        <v>0.0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 ht="12.75" customHeight="1">
      <c r="A8" s="24"/>
      <c r="B8" s="60" t="s">
        <v>77</v>
      </c>
      <c r="C8" s="61">
        <v>0.0</v>
      </c>
      <c r="D8" s="61">
        <v>0.0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</row>
    <row r="9" ht="12.75" customHeight="1">
      <c r="A9" s="24"/>
      <c r="B9" s="62" t="s">
        <v>78</v>
      </c>
      <c r="C9" s="63">
        <v>1345.5746061167752</v>
      </c>
      <c r="D9" s="63">
        <v>1572.636700648749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</row>
    <row r="10" ht="12.75" customHeight="1">
      <c r="A10" s="24"/>
      <c r="B10" s="64" t="s">
        <v>79</v>
      </c>
      <c r="C10" s="56">
        <v>1184828.8345690456</v>
      </c>
      <c r="D10" s="56">
        <v>1098769.983781279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 ht="12.75" customHeight="1">
      <c r="A11" s="24"/>
      <c r="B11" s="65" t="s">
        <v>80</v>
      </c>
      <c r="C11" s="59">
        <v>0.0</v>
      </c>
      <c r="D11" s="59">
        <v>0.0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</row>
    <row r="12" ht="12.75" customHeight="1">
      <c r="A12" s="24"/>
      <c r="B12" s="66" t="s">
        <v>81</v>
      </c>
      <c r="C12" s="67">
        <v>728233.607506951</v>
      </c>
      <c r="D12" s="67">
        <v>585547.3818350325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 ht="12.75" customHeight="1">
      <c r="A13" s="24"/>
      <c r="B13" s="66" t="s">
        <v>82</v>
      </c>
      <c r="C13" s="67">
        <v>323297.0342910102</v>
      </c>
      <c r="D13" s="67">
        <v>222930.95458758113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ht="12.75" customHeight="1">
      <c r="A14" s="24"/>
      <c r="B14" s="66" t="s">
        <v>83</v>
      </c>
      <c r="C14" s="67">
        <v>130161.31835032438</v>
      </c>
      <c r="D14" s="67">
        <v>249225.55607043562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 ht="12.75" customHeight="1">
      <c r="A15" s="24"/>
      <c r="B15" s="66" t="s">
        <v>84</v>
      </c>
      <c r="C15" s="67">
        <v>3136.8744207599634</v>
      </c>
      <c r="D15" s="67">
        <v>41066.09128822984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 ht="12.75" customHeight="1">
      <c r="A16" s="24"/>
      <c r="B16" s="62" t="s">
        <v>85</v>
      </c>
      <c r="C16" s="63">
        <v>0.0</v>
      </c>
      <c r="D16" s="63">
        <v>0.0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 ht="12.75" customHeight="1">
      <c r="A17" s="24"/>
      <c r="B17" s="64" t="s">
        <v>86</v>
      </c>
      <c r="C17" s="56">
        <v>135252.54865616313</v>
      </c>
      <c r="D17" s="56">
        <v>149280.29425393883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 ht="12.75" customHeight="1">
      <c r="A18" s="24"/>
      <c r="B18" s="57" t="s">
        <v>87</v>
      </c>
      <c r="C18" s="56">
        <v>0.0</v>
      </c>
      <c r="D18" s="56">
        <v>0.0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 ht="7.5" customHeight="1">
      <c r="A19" s="24"/>
      <c r="B19" s="55"/>
      <c r="C19" s="56"/>
      <c r="D19" s="56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ht="12.75" customHeight="1">
      <c r="A20" s="24"/>
      <c r="B20" s="55" t="s">
        <v>88</v>
      </c>
      <c r="C20" s="56">
        <v>416804.62233549583</v>
      </c>
      <c r="D20" s="56">
        <v>520089.4925857276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 ht="12.75" customHeight="1">
      <c r="A21" s="24"/>
      <c r="B21" s="57" t="s">
        <v>89</v>
      </c>
      <c r="C21" s="56">
        <v>162812.5</v>
      </c>
      <c r="D21" s="56">
        <v>187468.72103799816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 ht="12.75" customHeight="1">
      <c r="A22" s="24"/>
      <c r="B22" s="58" t="s">
        <v>90</v>
      </c>
      <c r="C22" s="59">
        <v>45580.10889712697</v>
      </c>
      <c r="D22" s="59">
        <v>29898.632993512514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</row>
    <row r="23" ht="12.75" customHeight="1">
      <c r="A23" s="24"/>
      <c r="B23" s="66" t="s">
        <v>91</v>
      </c>
      <c r="C23" s="67">
        <v>0.0</v>
      </c>
      <c r="D23" s="67">
        <v>0.0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 ht="12.75" customHeight="1">
      <c r="A24" s="24"/>
      <c r="B24" s="66" t="s">
        <v>92</v>
      </c>
      <c r="C24" s="67">
        <v>0.0</v>
      </c>
      <c r="D24" s="67">
        <v>0.0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</row>
    <row r="25" ht="12.75" customHeight="1">
      <c r="A25" s="24"/>
      <c r="B25" s="66" t="s">
        <v>93</v>
      </c>
      <c r="C25" s="67">
        <v>0.0</v>
      </c>
      <c r="D25" s="67">
        <v>0.0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 ht="12.75" customHeight="1">
      <c r="A26" s="24"/>
      <c r="B26" s="62" t="s">
        <v>94</v>
      </c>
      <c r="C26" s="63">
        <v>117232.39110287304</v>
      </c>
      <c r="D26" s="63">
        <v>157570.08804448563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</row>
    <row r="27" ht="12.75" customHeight="1">
      <c r="A27" s="24"/>
      <c r="B27" s="57" t="s">
        <v>95</v>
      </c>
      <c r="C27" s="56">
        <v>68365.09499536609</v>
      </c>
      <c r="D27" s="56">
        <v>152062.96339202966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 ht="12.75" customHeight="1">
      <c r="A28" s="24"/>
      <c r="B28" s="58" t="s">
        <v>96</v>
      </c>
      <c r="C28" s="59">
        <v>59868.80213160334</v>
      </c>
      <c r="D28" s="59">
        <v>131712.81278962002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 ht="12.75" customHeight="1">
      <c r="A29" s="24"/>
      <c r="B29" s="62" t="s">
        <v>97</v>
      </c>
      <c r="C29" s="63">
        <v>8496.292863762743</v>
      </c>
      <c r="D29" s="63">
        <v>20350.150602409638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 ht="12.75" customHeight="1">
      <c r="A30" s="24"/>
      <c r="B30" s="57" t="s">
        <v>98</v>
      </c>
      <c r="C30" s="56">
        <v>0.0</v>
      </c>
      <c r="D30" s="56">
        <v>0.0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</row>
    <row r="31" ht="12.75" customHeight="1">
      <c r="A31" s="24"/>
      <c r="B31" s="57" t="s">
        <v>99</v>
      </c>
      <c r="C31" s="56">
        <v>185627.02734012975</v>
      </c>
      <c r="D31" s="56">
        <v>180557.80815569972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</row>
    <row r="32" ht="12.75" customHeight="1">
      <c r="A32" s="24"/>
      <c r="B32" s="68" t="s">
        <v>100</v>
      </c>
      <c r="C32" s="69">
        <v>1738231.5801668214</v>
      </c>
      <c r="D32" s="69">
        <v>1769712.4073215942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</row>
    <row r="33" ht="9.0" customHeight="1">
      <c r="A33" s="24"/>
      <c r="B33" s="24"/>
      <c r="C33" s="70"/>
      <c r="D33" s="70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ht="12.75" customHeight="1">
      <c r="A34" s="24"/>
      <c r="B34" s="71" t="s">
        <v>101</v>
      </c>
      <c r="C34" s="72">
        <v>456358.8971269694</v>
      </c>
      <c r="D34" s="72">
        <v>821743.2228915663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 ht="12.75" customHeight="1">
      <c r="A35" s="24"/>
      <c r="B35" s="57" t="s">
        <v>102</v>
      </c>
      <c r="C35" s="56">
        <v>2896.200185356812</v>
      </c>
      <c r="D35" s="56">
        <v>2896.200185356812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ht="12.75" customHeight="1">
      <c r="A36" s="24"/>
      <c r="B36" s="58" t="s">
        <v>103</v>
      </c>
      <c r="C36" s="59">
        <v>2896.200185356812</v>
      </c>
      <c r="D36" s="59">
        <v>2896.200185356812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ht="12.75" customHeight="1">
      <c r="A37" s="24"/>
      <c r="B37" s="66" t="s">
        <v>104</v>
      </c>
      <c r="C37" s="67">
        <v>0.0</v>
      </c>
      <c r="D37" s="67">
        <v>0.0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 ht="12.75" customHeight="1">
      <c r="A38" s="24"/>
      <c r="B38" s="62" t="s">
        <v>94</v>
      </c>
      <c r="C38" s="63">
        <v>0.0</v>
      </c>
      <c r="D38" s="63">
        <v>0.0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 ht="12.75" customHeight="1">
      <c r="A39" s="24"/>
      <c r="B39" s="57" t="s">
        <v>105</v>
      </c>
      <c r="C39" s="56">
        <v>0.0</v>
      </c>
      <c r="D39" s="56">
        <v>0.0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ht="12.75" customHeight="1">
      <c r="A40" s="24"/>
      <c r="B40" s="57" t="s">
        <v>106</v>
      </c>
      <c r="C40" s="56">
        <v>289.6200185356812</v>
      </c>
      <c r="D40" s="56">
        <v>289.6200185356812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 ht="12.75" customHeight="1">
      <c r="A41" s="24"/>
      <c r="B41" s="58" t="s">
        <v>107</v>
      </c>
      <c r="C41" s="59">
        <v>289.6200185356812</v>
      </c>
      <c r="D41" s="59">
        <v>289.6200185356812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 ht="12.75" customHeight="1">
      <c r="A42" s="24"/>
      <c r="B42" s="73" t="s">
        <v>94</v>
      </c>
      <c r="C42" s="63">
        <v>0.0</v>
      </c>
      <c r="D42" s="63">
        <v>0.0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 ht="12.75" customHeight="1">
      <c r="A43" s="24"/>
      <c r="B43" s="57" t="s">
        <v>108</v>
      </c>
      <c r="C43" s="56">
        <v>453173.07692307694</v>
      </c>
      <c r="D43" s="56">
        <v>818557.4026876738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</row>
    <row r="44" ht="12.75" customHeight="1">
      <c r="A44" s="24"/>
      <c r="B44" s="58" t="s">
        <v>109</v>
      </c>
      <c r="C44" s="59">
        <v>288420.0505097304</v>
      </c>
      <c r="D44" s="59">
        <v>365384.3257645973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 ht="12.75" customHeight="1">
      <c r="A45" s="24"/>
      <c r="B45" s="62" t="s">
        <v>110</v>
      </c>
      <c r="C45" s="74">
        <v>164753.02641334652</v>
      </c>
      <c r="D45" s="63">
        <v>453173.07692307694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</row>
    <row r="46" ht="12.75" customHeight="1">
      <c r="A46" s="24"/>
      <c r="B46" s="55"/>
      <c r="C46" s="56">
        <v>0.0</v>
      </c>
      <c r="D46" s="56">
        <v>0.0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 ht="12.75" customHeight="1">
      <c r="A47" s="24"/>
      <c r="B47" s="55" t="s">
        <v>111</v>
      </c>
      <c r="C47" s="56">
        <v>0.0</v>
      </c>
      <c r="D47" s="56">
        <v>0.0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 ht="12.75" customHeight="1">
      <c r="A48" s="24"/>
      <c r="B48" s="55"/>
      <c r="C48" s="56">
        <v>0.0</v>
      </c>
      <c r="D48" s="56">
        <v>0.0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ht="12.75" customHeight="1">
      <c r="A49" s="24"/>
      <c r="B49" s="55" t="s">
        <v>112</v>
      </c>
      <c r="C49" s="56">
        <v>1281872.6830398515</v>
      </c>
      <c r="D49" s="56">
        <v>947969.6051899908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ht="12.75" customHeight="1">
      <c r="A50" s="24"/>
      <c r="B50" s="57" t="s">
        <v>113</v>
      </c>
      <c r="C50" s="56">
        <v>523639.3651529193</v>
      </c>
      <c r="D50" s="56">
        <v>105177.8266913809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ht="12.75" customHeight="1">
      <c r="A51" s="24"/>
      <c r="B51" s="58" t="s">
        <v>114</v>
      </c>
      <c r="C51" s="59">
        <v>394759.0361445783</v>
      </c>
      <c r="D51" s="59">
        <v>0.0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ht="12.75" customHeight="1">
      <c r="A52" s="24"/>
      <c r="B52" s="66" t="s">
        <v>115</v>
      </c>
      <c r="C52" s="67">
        <v>75011.00556070436</v>
      </c>
      <c r="D52" s="67">
        <v>105177.8266913809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 ht="12.75" customHeight="1">
      <c r="A53" s="24"/>
      <c r="B53" s="62" t="s">
        <v>94</v>
      </c>
      <c r="C53" s="63">
        <v>53869.3234476367</v>
      </c>
      <c r="D53" s="63">
        <v>0.0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 ht="12.75" customHeight="1">
      <c r="A54" s="24"/>
      <c r="B54" s="57" t="s">
        <v>116</v>
      </c>
      <c r="C54" s="56">
        <v>758233.3178869323</v>
      </c>
      <c r="D54" s="56">
        <v>842791.7784986099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 ht="12.75" customHeight="1">
      <c r="A55" s="24"/>
      <c r="B55" s="58" t="s">
        <v>117</v>
      </c>
      <c r="C55" s="59">
        <v>42556.47590361446</v>
      </c>
      <c r="D55" s="59">
        <v>54738.47312326228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 ht="12.75" customHeight="1">
      <c r="A56" s="24"/>
      <c r="B56" s="66" t="s">
        <v>114</v>
      </c>
      <c r="C56" s="67">
        <v>89784.52270620946</v>
      </c>
      <c r="D56" s="67">
        <v>0.0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</row>
    <row r="57" ht="12.75" customHeight="1">
      <c r="A57" s="24"/>
      <c r="B57" s="66" t="s">
        <v>118</v>
      </c>
      <c r="C57" s="67">
        <v>267060.0671918443</v>
      </c>
      <c r="D57" s="67">
        <v>391348.47080630215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</row>
    <row r="58" ht="12.75" customHeight="1">
      <c r="A58" s="24"/>
      <c r="B58" s="62" t="s">
        <v>94</v>
      </c>
      <c r="C58" s="63">
        <v>358832.25208526413</v>
      </c>
      <c r="D58" s="63">
        <v>396704.83456904546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</row>
    <row r="59" ht="12.75" customHeight="1">
      <c r="A59" s="24"/>
      <c r="B59" s="68" t="s">
        <v>119</v>
      </c>
      <c r="C59" s="69">
        <v>1738231.580166821</v>
      </c>
      <c r="D59" s="69">
        <v>1769712.828081557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</row>
    <row r="60" ht="12.75" customHeight="1">
      <c r="A60" s="24"/>
      <c r="B60" s="24"/>
      <c r="C60" s="70"/>
      <c r="D60" s="70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</row>
    <row r="61" ht="12.75" customHeight="1">
      <c r="A61" s="24"/>
      <c r="B61" s="75"/>
      <c r="C61" s="70"/>
      <c r="D61" s="70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 ht="12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 ht="12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 ht="12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</row>
    <row r="65" ht="12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</row>
    <row r="66" ht="12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</row>
    <row r="67" ht="12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</row>
    <row r="68" ht="12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</row>
    <row r="69" ht="12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</row>
    <row r="70" ht="12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</row>
    <row r="71" ht="12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</row>
    <row r="72" ht="12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</row>
    <row r="73" ht="12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</row>
    <row r="74" ht="12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</row>
    <row r="75" ht="12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</row>
    <row r="76" ht="12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</row>
    <row r="77" ht="12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</row>
    <row r="78" ht="12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</row>
    <row r="79" ht="12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</row>
    <row r="80" ht="12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</row>
    <row r="81" ht="12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</row>
    <row r="82" ht="12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</row>
    <row r="83" ht="12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</row>
    <row r="84" ht="12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</row>
    <row r="85" ht="12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</row>
    <row r="86" ht="12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</row>
    <row r="87" ht="12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</row>
    <row r="88" ht="12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</row>
    <row r="89" ht="12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</row>
    <row r="90" ht="12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</row>
    <row r="91" ht="12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</row>
    <row r="92" ht="12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</row>
    <row r="93" ht="12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</row>
    <row r="94" ht="12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</row>
    <row r="95" ht="12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</row>
    <row r="96" ht="12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</row>
    <row r="97" ht="12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</row>
    <row r="98" ht="12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</row>
    <row r="99" ht="12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</row>
    <row r="100" ht="12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</row>
    <row r="101" ht="12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</row>
    <row r="102" ht="12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</row>
    <row r="103" ht="12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</row>
    <row r="104" ht="12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</row>
    <row r="105" ht="12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</row>
    <row r="106" ht="12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</row>
    <row r="107" ht="12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</row>
    <row r="108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</row>
    <row r="109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</row>
    <row r="110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</row>
    <row r="111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</row>
    <row r="112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</row>
    <row r="113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</row>
    <row r="1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</row>
    <row r="115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</row>
    <row r="116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</row>
    <row r="117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</row>
    <row r="118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</row>
    <row r="119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</row>
    <row r="120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</row>
    <row r="121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</row>
    <row r="122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</row>
    <row r="123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</row>
    <row r="12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</row>
    <row r="125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</row>
    <row r="126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</row>
    <row r="127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</row>
    <row r="128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</row>
    <row r="129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</row>
    <row r="130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</row>
    <row r="131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</row>
    <row r="132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</row>
    <row r="133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</row>
    <row r="13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</row>
    <row r="135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</row>
    <row r="136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</row>
    <row r="137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</row>
    <row r="138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</row>
    <row r="139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</row>
    <row r="140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</row>
    <row r="141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</row>
    <row r="142" ht="12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</row>
    <row r="143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</row>
    <row r="14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</row>
    <row r="145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</row>
    <row r="146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</row>
    <row r="147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</row>
    <row r="148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</row>
    <row r="149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</row>
    <row r="150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</row>
    <row r="151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</row>
    <row r="152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</row>
    <row r="153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</row>
    <row r="15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</row>
    <row r="155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</row>
    <row r="156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</row>
    <row r="157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</row>
    <row r="158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</row>
    <row r="159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</row>
    <row r="160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</row>
    <row r="161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</row>
    <row r="162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</row>
    <row r="163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</row>
    <row r="16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</row>
    <row r="165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</row>
    <row r="166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</row>
    <row r="167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</row>
    <row r="168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</row>
    <row r="169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</row>
    <row r="170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</row>
    <row r="171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</row>
    <row r="172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</row>
    <row r="173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</row>
    <row r="17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</row>
    <row r="175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</row>
    <row r="176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</row>
    <row r="177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</row>
    <row r="178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</row>
    <row r="179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</row>
    <row r="180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</row>
    <row r="181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</row>
    <row r="182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</row>
    <row r="183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</row>
    <row r="18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</row>
    <row r="185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</row>
    <row r="186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</row>
    <row r="187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</row>
    <row r="188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</row>
    <row r="189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</row>
    <row r="190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</row>
    <row r="191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</row>
    <row r="192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</row>
    <row r="193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</row>
    <row r="19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</row>
    <row r="195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</row>
    <row r="196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</row>
    <row r="197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</row>
    <row r="198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</row>
    <row r="199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</row>
    <row r="200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</row>
    <row r="201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</row>
    <row r="202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</row>
    <row r="203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</row>
    <row r="20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</row>
    <row r="205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</row>
    <row r="206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</row>
    <row r="207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</row>
    <row r="208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</row>
    <row r="209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</row>
    <row r="210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</row>
    <row r="211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</row>
    <row r="212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</row>
    <row r="213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</row>
    <row r="2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</row>
    <row r="215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</row>
    <row r="216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</row>
    <row r="217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</row>
    <row r="218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</row>
    <row r="219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</row>
    <row r="220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</row>
    <row r="221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</row>
    <row r="222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</row>
    <row r="223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</row>
    <row r="22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</row>
    <row r="225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</row>
    <row r="226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</row>
    <row r="227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</row>
    <row r="228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</row>
    <row r="229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</row>
    <row r="230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</row>
    <row r="231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</row>
    <row r="232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</row>
    <row r="233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</row>
    <row r="23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</row>
    <row r="235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</row>
    <row r="236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</row>
    <row r="237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</row>
    <row r="238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</row>
    <row r="239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</row>
    <row r="240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</row>
    <row r="241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</row>
    <row r="242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</row>
    <row r="243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</row>
    <row r="24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</row>
    <row r="245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</row>
    <row r="246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</row>
    <row r="247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</row>
    <row r="248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</row>
    <row r="249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</row>
    <row r="250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</row>
    <row r="251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</row>
    <row r="252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</row>
    <row r="253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</row>
    <row r="25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</row>
    <row r="255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</row>
    <row r="256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</row>
    <row r="257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</row>
    <row r="258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</row>
    <row r="259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3:D3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33.63"/>
    <col customWidth="1" min="3" max="4" width="12.0"/>
    <col customWidth="1" min="5" max="6" width="9.13"/>
    <col customWidth="1" min="7" max="24" width="8.63"/>
  </cols>
  <sheetData>
    <row r="1" ht="12.75" customHeight="1">
      <c r="A1" s="24"/>
      <c r="B1" s="24"/>
      <c r="C1" s="70"/>
      <c r="D1" s="70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 ht="12.75" customHeight="1">
      <c r="A2" s="24"/>
      <c r="B2" s="2" t="s">
        <v>22</v>
      </c>
      <c r="C2" s="3" t="s">
        <v>73</v>
      </c>
      <c r="D2" s="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ht="12.75" customHeight="1">
      <c r="A3" s="24"/>
      <c r="B3" s="6"/>
      <c r="C3" s="54">
        <v>2016.0</v>
      </c>
      <c r="D3" s="54">
        <v>2017.0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ht="12.75" customHeight="1">
      <c r="A4" s="24"/>
      <c r="B4" s="76" t="s">
        <v>120</v>
      </c>
      <c r="C4" s="77">
        <f t="shared" ref="C4:D4" si="1">SUM(C5:C6)</f>
        <v>3418804.75</v>
      </c>
      <c r="D4" s="77">
        <f t="shared" si="1"/>
        <v>5477916.666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 ht="12.75" customHeight="1">
      <c r="A5" s="24"/>
      <c r="B5" s="78" t="s">
        <v>121</v>
      </c>
      <c r="C5" s="77">
        <f>'Income Statement'!D5*1.21</f>
        <v>3284154.75</v>
      </c>
      <c r="D5" s="77">
        <f>'Income Statement'!E5*1.21</f>
        <v>5341246.916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 ht="12.75" customHeight="1">
      <c r="A6" s="24"/>
      <c r="B6" s="78" t="s">
        <v>33</v>
      </c>
      <c r="C6" s="77">
        <v>134650.0</v>
      </c>
      <c r="D6" s="77">
        <f>C6*1.015</f>
        <v>136669.75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</row>
    <row r="7" ht="12.75" customHeight="1">
      <c r="A7" s="24"/>
      <c r="B7" s="76" t="s">
        <v>122</v>
      </c>
      <c r="C7" s="77">
        <f t="shared" ref="C7:D7" si="2">SUM(C8:C11)</f>
        <v>-2865267.331</v>
      </c>
      <c r="D7" s="77">
        <f t="shared" si="2"/>
        <v>-4917989.939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 ht="12.75" customHeight="1">
      <c r="A8" s="24"/>
      <c r="B8" s="78" t="s">
        <v>123</v>
      </c>
      <c r="C8" s="77">
        <v>-2232103.63716404</v>
      </c>
      <c r="D8" s="77">
        <v>-3598006.6062326236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</row>
    <row r="9" ht="12.75" customHeight="1">
      <c r="A9" s="24"/>
      <c r="B9" s="78" t="s">
        <v>124</v>
      </c>
      <c r="C9" s="77">
        <v>-499966.69369786844</v>
      </c>
      <c r="D9" s="77">
        <v>-1368507.0088044486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</row>
    <row r="10" ht="12.75" customHeight="1">
      <c r="A10" s="24"/>
      <c r="B10" s="78" t="s">
        <v>125</v>
      </c>
      <c r="C10" s="77">
        <v>-238.0</v>
      </c>
      <c r="D10" s="77">
        <v>70322.7951807229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 ht="12.75" customHeight="1">
      <c r="A11" s="24"/>
      <c r="B11" s="78" t="s">
        <v>126</v>
      </c>
      <c r="C11" s="77">
        <v>-132959.0</v>
      </c>
      <c r="D11" s="77">
        <v>-21799.119555143654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</row>
    <row r="12" ht="12.75" customHeight="1">
      <c r="A12" s="24"/>
      <c r="B12" s="79" t="s">
        <v>127</v>
      </c>
      <c r="C12" s="80">
        <f t="shared" ref="C12:D12" si="3">C4+C7</f>
        <v>553537.4189</v>
      </c>
      <c r="D12" s="80">
        <f t="shared" si="3"/>
        <v>559926.7261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 ht="12.75" customHeight="1">
      <c r="A13" s="24"/>
      <c r="B13" s="81"/>
      <c r="C13" s="77"/>
      <c r="D13" s="77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ht="12.75" customHeight="1">
      <c r="A14" s="24"/>
      <c r="B14" s="78" t="s">
        <v>128</v>
      </c>
      <c r="C14" s="77">
        <v>-351467.21501390176</v>
      </c>
      <c r="D14" s="77">
        <v>-243493.97590361445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 ht="12.75" customHeight="1">
      <c r="A15" s="24"/>
      <c r="B15" s="78" t="s">
        <v>129</v>
      </c>
      <c r="C15" s="77">
        <v>0.0</v>
      </c>
      <c r="D15" s="77">
        <v>291013.38044485636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 ht="12.75" customHeight="1">
      <c r="A16" s="24"/>
      <c r="B16" s="78" t="s">
        <v>130</v>
      </c>
      <c r="C16" s="77">
        <v>-131719.18443002782</v>
      </c>
      <c r="D16" s="77">
        <v>-14027.745597775718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 ht="12.75" customHeight="1">
      <c r="A17" s="24"/>
      <c r="B17" s="79" t="s">
        <v>131</v>
      </c>
      <c r="C17" s="80">
        <f t="shared" ref="C17:D17" si="4">SUM(C14:C16)</f>
        <v>-483186.3994</v>
      </c>
      <c r="D17" s="80">
        <f t="shared" si="4"/>
        <v>33491.65894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 ht="12.75" customHeight="1">
      <c r="A18" s="24"/>
      <c r="B18" s="81"/>
      <c r="C18" s="77"/>
      <c r="D18" s="77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 ht="12.75" customHeight="1">
      <c r="A19" s="24"/>
      <c r="B19" s="78" t="s">
        <v>132</v>
      </c>
      <c r="C19" s="77">
        <v>0.0</v>
      </c>
      <c r="D19" s="77">
        <v>0.0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ht="12.75" customHeight="1">
      <c r="A20" s="24"/>
      <c r="B20" s="78" t="s">
        <v>133</v>
      </c>
      <c r="C20" s="77"/>
      <c r="D20" s="77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 ht="12.75" customHeight="1">
      <c r="A21" s="24"/>
      <c r="B21" s="78" t="s">
        <v>134</v>
      </c>
      <c r="C21" s="77">
        <v>53869.3234476367</v>
      </c>
      <c r="D21" s="77">
        <v>0.0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 ht="12.75" customHeight="1">
      <c r="A22" s="24"/>
      <c r="B22" s="78" t="s">
        <v>135</v>
      </c>
      <c r="C22" s="77">
        <v>-56671.68674698795</v>
      </c>
      <c r="D22" s="77">
        <v>-576913.2298424467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</row>
    <row r="23" ht="12.75" customHeight="1">
      <c r="A23" s="24"/>
      <c r="B23" s="78" t="s">
        <v>136</v>
      </c>
      <c r="C23" s="77">
        <v>-11716.867469879518</v>
      </c>
      <c r="D23" s="77">
        <v>-13756.371640407786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 ht="12.75" customHeight="1">
      <c r="A24" s="24"/>
      <c r="B24" s="78" t="s">
        <v>137</v>
      </c>
      <c r="C24" s="77">
        <v>2253.5333642261353</v>
      </c>
      <c r="D24" s="77">
        <v>-7818.002780352179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</row>
    <row r="25" ht="12.75" customHeight="1">
      <c r="A25" s="24"/>
      <c r="B25" s="79" t="s">
        <v>138</v>
      </c>
      <c r="C25" s="80">
        <f t="shared" ref="C25:D25" si="5">SUM(C19:C24)</f>
        <v>-12265.69741</v>
      </c>
      <c r="D25" s="80">
        <f t="shared" si="5"/>
        <v>-598487.6043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 ht="12.75" customHeight="1">
      <c r="A26" s="24"/>
      <c r="B26" s="81"/>
      <c r="C26" s="77"/>
      <c r="D26" s="77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</row>
    <row r="27" ht="12.75" customHeight="1">
      <c r="A27" s="24"/>
      <c r="B27" s="79" t="s">
        <v>139</v>
      </c>
      <c r="C27" s="80">
        <f t="shared" ref="C27:D27" si="6">SUM(C25,C17,C12)</f>
        <v>58085.32206</v>
      </c>
      <c r="D27" s="80">
        <f t="shared" si="6"/>
        <v>-5069.219184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 ht="12.75" customHeight="1">
      <c r="A28" s="24"/>
      <c r="B28" s="78" t="s">
        <v>140</v>
      </c>
      <c r="C28" s="77">
        <v>127541.70528266914</v>
      </c>
      <c r="D28" s="77">
        <f>C29</f>
        <v>185627.0273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 ht="12.75" customHeight="1">
      <c r="A29" s="24"/>
      <c r="B29" s="82" t="s">
        <v>141</v>
      </c>
      <c r="C29" s="83">
        <f t="shared" ref="C29:D29" si="7">C28+C27</f>
        <v>185627.0273</v>
      </c>
      <c r="D29" s="83">
        <f t="shared" si="7"/>
        <v>180557.8082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 ht="12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</row>
    <row r="31" ht="12.75" customHeight="1">
      <c r="A31" s="24"/>
      <c r="B31" s="24" t="s">
        <v>142</v>
      </c>
      <c r="C31" s="70">
        <v>5.820766091346741E-10</v>
      </c>
      <c r="D31" s="70">
        <v>-2.3283064365386963E-10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</row>
    <row r="32" ht="12.75" customHeight="1">
      <c r="A32" s="24"/>
      <c r="B32" s="24"/>
      <c r="C32" s="70">
        <f>C29-'Balance sheet'!C31</f>
        <v>0.0000000005238689482</v>
      </c>
      <c r="D32" s="70">
        <f>D29-'Balance sheet'!D31</f>
        <v>-0.0000000002328306437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</row>
    <row r="33" ht="12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ht="12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 ht="12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ht="12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ht="12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 ht="12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 ht="12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ht="12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 ht="12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 ht="12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 ht="12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</row>
    <row r="44" ht="12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 ht="12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</row>
    <row r="46" ht="12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 ht="12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 ht="12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ht="12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ht="12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ht="12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ht="12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 ht="12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 ht="12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 ht="12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 ht="12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</row>
    <row r="57" ht="12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</row>
    <row r="58" ht="12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</row>
    <row r="59" ht="12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</row>
    <row r="60" ht="12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</row>
    <row r="61" ht="12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 ht="12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 ht="12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 ht="12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</row>
    <row r="65" ht="12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</row>
    <row r="66" ht="12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</row>
    <row r="67" ht="12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</row>
    <row r="68" ht="12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</row>
    <row r="69" ht="12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</row>
    <row r="70" ht="12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</row>
    <row r="71" ht="12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</row>
    <row r="72" ht="12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</row>
    <row r="73" ht="12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</row>
    <row r="74" ht="12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</row>
    <row r="75" ht="12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</row>
    <row r="76" ht="12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</row>
    <row r="77" ht="12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</row>
    <row r="78" ht="12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</row>
    <row r="79" ht="12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</row>
    <row r="80" ht="12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</row>
    <row r="81" ht="12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</row>
    <row r="82" ht="12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</row>
    <row r="83" ht="12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</row>
    <row r="84" ht="12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</row>
    <row r="85" ht="12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</row>
    <row r="86" ht="12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</row>
    <row r="87" ht="12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</row>
    <row r="88" ht="12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</row>
    <row r="89" ht="12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</row>
    <row r="90" ht="12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</row>
    <row r="91" ht="12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</row>
    <row r="92" ht="12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</row>
    <row r="93" ht="12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</row>
    <row r="94" ht="12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</row>
    <row r="95" ht="12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</row>
    <row r="96" ht="12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</row>
    <row r="97" ht="12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</row>
    <row r="98" ht="12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</row>
    <row r="99" ht="12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</row>
    <row r="100" ht="12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</row>
    <row r="101" ht="12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</row>
    <row r="102" ht="12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</row>
    <row r="103" ht="12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</row>
    <row r="104" ht="12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</row>
    <row r="105" ht="12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</row>
    <row r="106" ht="12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</row>
    <row r="107" ht="12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</row>
    <row r="108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</row>
    <row r="109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</row>
    <row r="110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</row>
    <row r="111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</row>
    <row r="112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</row>
    <row r="113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</row>
    <row r="1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</row>
    <row r="115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</row>
    <row r="116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</row>
    <row r="117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</row>
    <row r="118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</row>
    <row r="119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</row>
    <row r="120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</row>
    <row r="121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</row>
    <row r="122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</row>
    <row r="123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</row>
    <row r="12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</row>
    <row r="125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</row>
    <row r="126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</row>
    <row r="127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</row>
    <row r="128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</row>
    <row r="129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</row>
    <row r="130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</row>
    <row r="131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</row>
    <row r="132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</row>
    <row r="133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</row>
    <row r="13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</row>
    <row r="135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</row>
    <row r="136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</row>
    <row r="137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</row>
    <row r="138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</row>
    <row r="139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</row>
    <row r="140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</row>
    <row r="141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</row>
    <row r="142" ht="12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</row>
    <row r="143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</row>
    <row r="14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</row>
    <row r="145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</row>
    <row r="146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</row>
    <row r="147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</row>
    <row r="148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</row>
    <row r="149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</row>
    <row r="150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</row>
    <row r="151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</row>
    <row r="152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</row>
    <row r="153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</row>
    <row r="15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</row>
    <row r="155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</row>
    <row r="156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</row>
    <row r="157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</row>
    <row r="158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</row>
    <row r="159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</row>
    <row r="160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</row>
    <row r="161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</row>
    <row r="162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</row>
    <row r="163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</row>
    <row r="16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</row>
    <row r="165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</row>
    <row r="166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</row>
    <row r="167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</row>
    <row r="168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</row>
    <row r="169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</row>
    <row r="170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</row>
    <row r="171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</row>
    <row r="172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</row>
    <row r="173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</row>
    <row r="17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</row>
    <row r="175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</row>
    <row r="176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</row>
    <row r="177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</row>
    <row r="178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</row>
    <row r="179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</row>
    <row r="180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</row>
    <row r="181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</row>
    <row r="182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</row>
    <row r="183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</row>
    <row r="18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</row>
    <row r="185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</row>
    <row r="186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</row>
    <row r="187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</row>
    <row r="188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</row>
    <row r="189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</row>
    <row r="190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</row>
    <row r="191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</row>
    <row r="192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</row>
    <row r="193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</row>
    <row r="19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</row>
    <row r="195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</row>
    <row r="196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</row>
    <row r="197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</row>
    <row r="198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</row>
    <row r="199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</row>
    <row r="200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</row>
    <row r="201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</row>
    <row r="202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</row>
    <row r="203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</row>
    <row r="20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</row>
    <row r="205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</row>
    <row r="206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</row>
    <row r="207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</row>
    <row r="208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</row>
    <row r="209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</row>
    <row r="210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</row>
    <row r="211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</row>
    <row r="212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</row>
    <row r="213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</row>
    <row r="2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</row>
    <row r="215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</row>
    <row r="216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</row>
    <row r="217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</row>
    <row r="218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</row>
    <row r="219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</row>
    <row r="220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</row>
    <row r="221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</row>
    <row r="222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</row>
    <row r="223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</row>
    <row r="22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</row>
    <row r="225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</row>
    <row r="226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</row>
    <row r="227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</row>
    <row r="228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</row>
    <row r="229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</row>
    <row r="230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</row>
    <row r="231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</row>
    <row r="232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D2"/>
  </mergeCells>
  <conditionalFormatting sqref="C32:D32">
    <cfRule type="cellIs" dxfId="0" priority="1" stopIfTrue="1" operator="notBetween">
      <formula>-1</formula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88"/>
    <col customWidth="1" min="2" max="2" width="13.38"/>
    <col customWidth="1" min="3" max="3" width="14.75"/>
    <col customWidth="1" min="6" max="6" width="15.25"/>
    <col customWidth="1" min="7" max="7" width="29.63"/>
    <col customWidth="1" min="8" max="8" width="13.5"/>
    <col customWidth="1" min="9" max="9" width="13.0"/>
    <col customWidth="1" min="10" max="10" width="23.38"/>
    <col customWidth="1" min="12" max="12" width="23.38"/>
    <col customWidth="1" min="13" max="14" width="16.25"/>
    <col customWidth="1" min="15" max="15" width="18.5"/>
  </cols>
  <sheetData>
    <row r="1">
      <c r="A1" s="48" t="s">
        <v>46</v>
      </c>
      <c r="B1" s="84">
        <v>32185.0</v>
      </c>
    </row>
    <row r="2">
      <c r="A2" s="49" t="s">
        <v>48</v>
      </c>
      <c r="B2" s="50">
        <v>0.02</v>
      </c>
      <c r="M2" s="53">
        <f>'Income Statement'!E9</f>
        <v>0.2439580397</v>
      </c>
    </row>
    <row r="3">
      <c r="A3" s="48" t="s">
        <v>49</v>
      </c>
      <c r="B3" s="50">
        <v>0.1</v>
      </c>
      <c r="G3" s="85" t="s">
        <v>143</v>
      </c>
      <c r="H3" s="85"/>
      <c r="M3" s="85" t="s">
        <v>144</v>
      </c>
      <c r="N3" s="85" t="s">
        <v>145</v>
      </c>
    </row>
    <row r="4" ht="22.5" customHeight="1">
      <c r="A4" s="37" t="s">
        <v>53</v>
      </c>
      <c r="B4" s="45">
        <v>5.0</v>
      </c>
      <c r="E4" s="86" t="s">
        <v>146</v>
      </c>
      <c r="F4" s="86" t="s">
        <v>147</v>
      </c>
      <c r="G4" s="86" t="s">
        <v>148</v>
      </c>
      <c r="H4" s="87" t="s">
        <v>43</v>
      </c>
      <c r="I4" s="88" t="s">
        <v>149</v>
      </c>
      <c r="J4" s="89" t="s">
        <v>144</v>
      </c>
      <c r="K4" s="88" t="s">
        <v>150</v>
      </c>
      <c r="L4" s="88" t="s">
        <v>151</v>
      </c>
      <c r="M4" s="88" t="s">
        <v>152</v>
      </c>
      <c r="N4" s="88" t="s">
        <v>153</v>
      </c>
    </row>
    <row r="5" ht="22.5" customHeight="1">
      <c r="A5" s="85" t="s">
        <v>154</v>
      </c>
      <c r="B5" s="90">
        <v>0.05</v>
      </c>
      <c r="E5" s="91">
        <v>43465.0</v>
      </c>
      <c r="F5" s="92">
        <f>B7</f>
        <v>4414254</v>
      </c>
      <c r="G5" s="92">
        <f t="shared" ref="G5:G9" si="1">$F5-$B$7</f>
        <v>0</v>
      </c>
      <c r="H5" s="93">
        <f t="shared" ref="H5:H9" si="2">$G5*0.05</f>
        <v>0</v>
      </c>
      <c r="I5" s="94">
        <f t="shared" ref="I5:I9" si="3">$B$12</f>
        <v>321850</v>
      </c>
      <c r="J5" s="95">
        <v>0.0</v>
      </c>
      <c r="K5" s="94">
        <f>Invesment!D11*0.05+Invesment!D13*0.03+Invesment!D13</f>
        <v>488500</v>
      </c>
      <c r="L5" s="93">
        <f>$B$16+Invesment!C13*B15+60000</f>
        <v>605000</v>
      </c>
      <c r="M5" s="94">
        <f>N5</f>
        <v>-810350</v>
      </c>
      <c r="N5" s="94">
        <f t="shared" ref="N5:N9" si="4">$G5-$H5-$I5-$J5-$K5</f>
        <v>-810350</v>
      </c>
    </row>
    <row r="6" ht="22.5" customHeight="1">
      <c r="A6" s="49" t="s">
        <v>155</v>
      </c>
      <c r="E6" s="91">
        <v>43830.0</v>
      </c>
      <c r="F6" s="92">
        <f>B7</f>
        <v>4414254</v>
      </c>
      <c r="G6" s="92">
        <f t="shared" si="1"/>
        <v>0</v>
      </c>
      <c r="H6" s="93">
        <f t="shared" si="2"/>
        <v>0</v>
      </c>
      <c r="I6" s="94">
        <f t="shared" si="3"/>
        <v>321850</v>
      </c>
      <c r="J6" s="95">
        <v>0.0</v>
      </c>
      <c r="K6" s="94">
        <f>Invesment!E9</f>
        <v>4375963.921</v>
      </c>
      <c r="L6" s="93">
        <f>$B$16+1000000*B15+60000</f>
        <v>590000</v>
      </c>
      <c r="M6" s="94">
        <f t="shared" ref="M6:M9" si="5">$N5+$N6</f>
        <v>-5508163.921</v>
      </c>
      <c r="N6" s="94">
        <f t="shared" si="4"/>
        <v>-4697813.921</v>
      </c>
    </row>
    <row r="7" ht="22.5" customHeight="1">
      <c r="A7" s="85" t="s">
        <v>156</v>
      </c>
      <c r="B7" s="96">
        <v>4414254.0</v>
      </c>
      <c r="E7" s="91">
        <v>44196.0</v>
      </c>
      <c r="F7" s="92">
        <f>F6*1.5</f>
        <v>6621381</v>
      </c>
      <c r="G7" s="92">
        <f t="shared" si="1"/>
        <v>2207127</v>
      </c>
      <c r="H7" s="93">
        <f t="shared" si="2"/>
        <v>110356.35</v>
      </c>
      <c r="I7" s="94">
        <f t="shared" si="3"/>
        <v>321850</v>
      </c>
      <c r="J7" s="94">
        <f t="shared" ref="J7:J9" si="6">G7*$M$2</f>
        <v>538446.3762</v>
      </c>
      <c r="K7" s="93"/>
      <c r="L7" s="93">
        <f>B16+B16*B15+60000</f>
        <v>575000</v>
      </c>
      <c r="M7" s="94">
        <f t="shared" si="5"/>
        <v>-3461339.647</v>
      </c>
      <c r="N7" s="94">
        <f t="shared" si="4"/>
        <v>1236474.274</v>
      </c>
    </row>
    <row r="8" ht="22.5" customHeight="1">
      <c r="A8" s="85" t="s">
        <v>157</v>
      </c>
      <c r="B8" s="96">
        <f>B7*1.5</f>
        <v>6621381</v>
      </c>
      <c r="E8" s="91">
        <v>44561.0</v>
      </c>
      <c r="F8" s="94">
        <f t="shared" ref="F8:F9" si="7">$F7*1.1</f>
        <v>7283519.1</v>
      </c>
      <c r="G8" s="92">
        <f t="shared" si="1"/>
        <v>2869265.1</v>
      </c>
      <c r="H8" s="93">
        <f t="shared" si="2"/>
        <v>143463.255</v>
      </c>
      <c r="I8" s="94">
        <f t="shared" si="3"/>
        <v>321850</v>
      </c>
      <c r="J8" s="94">
        <f t="shared" si="6"/>
        <v>699980.2891</v>
      </c>
      <c r="K8" s="93"/>
      <c r="L8" s="93">
        <f>+60000</f>
        <v>60000</v>
      </c>
      <c r="M8" s="94">
        <f t="shared" si="5"/>
        <v>2940445.83</v>
      </c>
      <c r="N8" s="94">
        <f t="shared" si="4"/>
        <v>1703971.556</v>
      </c>
    </row>
    <row r="9" ht="22.5" customHeight="1">
      <c r="A9" s="85" t="s">
        <v>158</v>
      </c>
      <c r="B9" s="97">
        <v>0.1</v>
      </c>
      <c r="E9" s="91">
        <v>44926.0</v>
      </c>
      <c r="F9" s="94">
        <f t="shared" si="7"/>
        <v>8011871.01</v>
      </c>
      <c r="G9" s="92">
        <f t="shared" si="1"/>
        <v>3597617.01</v>
      </c>
      <c r="H9" s="93">
        <f t="shared" si="2"/>
        <v>179880.8505</v>
      </c>
      <c r="I9" s="94">
        <f t="shared" si="3"/>
        <v>321850</v>
      </c>
      <c r="J9" s="94">
        <f t="shared" si="6"/>
        <v>877667.5932</v>
      </c>
      <c r="K9" s="93"/>
      <c r="L9" s="93">
        <f>C16+60000</f>
        <v>1260000</v>
      </c>
      <c r="M9" s="94">
        <f t="shared" si="5"/>
        <v>3922190.122</v>
      </c>
      <c r="N9" s="94">
        <f t="shared" si="4"/>
        <v>2218218.566</v>
      </c>
    </row>
    <row r="10" ht="22.5" customHeight="1">
      <c r="A10" s="49" t="s">
        <v>159</v>
      </c>
      <c r="E10" s="91"/>
      <c r="F10" s="94"/>
      <c r="G10" s="92"/>
      <c r="I10" s="98"/>
      <c r="J10" s="98"/>
      <c r="K10" s="93"/>
      <c r="L10" s="93"/>
      <c r="M10" s="98"/>
      <c r="N10" s="98"/>
    </row>
    <row r="11" ht="22.5" customHeight="1">
      <c r="A11" s="85" t="s">
        <v>160</v>
      </c>
      <c r="B11" s="85">
        <v>10.0</v>
      </c>
      <c r="E11" s="91"/>
      <c r="F11" s="94"/>
      <c r="G11" s="92"/>
      <c r="I11" s="98"/>
      <c r="J11" s="98"/>
      <c r="K11" s="93"/>
      <c r="L11" s="93"/>
      <c r="M11" s="98"/>
      <c r="N11" s="98"/>
    </row>
    <row r="12" ht="22.5" customHeight="1">
      <c r="A12" s="85" t="s">
        <v>161</v>
      </c>
      <c r="B12" s="99">
        <f>B1*B11</f>
        <v>321850</v>
      </c>
      <c r="E12" s="91"/>
      <c r="F12" s="94"/>
      <c r="G12" s="92"/>
      <c r="I12" s="98"/>
      <c r="J12" s="98"/>
      <c r="K12" s="93"/>
      <c r="L12" s="93"/>
      <c r="M12" s="98"/>
      <c r="N12" s="98"/>
    </row>
    <row r="13" ht="22.5" customHeight="1">
      <c r="B13" s="90"/>
      <c r="E13" s="91"/>
      <c r="F13" s="94"/>
      <c r="G13" s="92"/>
      <c r="I13" s="98"/>
      <c r="J13" s="98"/>
      <c r="K13" s="93"/>
      <c r="L13" s="93"/>
      <c r="M13" s="98"/>
      <c r="N13" s="98"/>
    </row>
    <row r="14" ht="22.5" customHeight="1">
      <c r="B14" s="49" t="s">
        <v>162</v>
      </c>
      <c r="C14" s="49" t="s">
        <v>163</v>
      </c>
      <c r="E14" s="91"/>
      <c r="F14" s="94"/>
      <c r="G14" s="92"/>
      <c r="I14" s="98"/>
      <c r="J14" s="98"/>
      <c r="K14" s="93"/>
      <c r="L14" s="93"/>
      <c r="M14" s="98"/>
      <c r="N14" s="98"/>
    </row>
    <row r="15" ht="22.5" customHeight="1">
      <c r="A15" s="85" t="s">
        <v>164</v>
      </c>
      <c r="B15" s="97">
        <v>0.03</v>
      </c>
      <c r="C15" s="97">
        <v>0.05</v>
      </c>
      <c r="E15" s="91"/>
      <c r="F15" s="94"/>
      <c r="G15" s="92"/>
      <c r="I15" s="98"/>
      <c r="J15" s="98"/>
      <c r="K15" s="93"/>
      <c r="L15" s="93"/>
      <c r="M15" s="98"/>
      <c r="N15" s="98"/>
    </row>
    <row r="16">
      <c r="A16" s="85" t="s">
        <v>165</v>
      </c>
      <c r="B16" s="100">
        <v>500000.0</v>
      </c>
      <c r="C16" s="100">
        <v>1200000.0</v>
      </c>
    </row>
    <row r="17">
      <c r="A17" s="49" t="s">
        <v>166</v>
      </c>
      <c r="B17" s="49" t="s">
        <v>167</v>
      </c>
      <c r="C17" s="49" t="s">
        <v>168</v>
      </c>
      <c r="D17" s="49" t="s">
        <v>169</v>
      </c>
    </row>
    <row r="18">
      <c r="A18" s="49" t="s">
        <v>170</v>
      </c>
      <c r="B18" s="100">
        <v>4000000.0</v>
      </c>
      <c r="C18" s="100">
        <v>4000000.0</v>
      </c>
      <c r="M18" s="85"/>
    </row>
    <row r="19">
      <c r="A19" s="49" t="s">
        <v>171</v>
      </c>
      <c r="B19" s="97">
        <v>0.3</v>
      </c>
      <c r="C19" s="97">
        <v>0.3</v>
      </c>
      <c r="D19" s="97">
        <v>0.15</v>
      </c>
    </row>
    <row r="20">
      <c r="A20" s="85" t="s">
        <v>172</v>
      </c>
      <c r="B20" s="101">
        <f>B7*1.3</f>
        <v>5738530.2</v>
      </c>
      <c r="C20" s="101">
        <f>B20*1.3</f>
        <v>7460089.26</v>
      </c>
      <c r="D20" s="101">
        <f>C20*1.15</f>
        <v>8579102.649</v>
      </c>
    </row>
    <row r="21">
      <c r="A21" s="49" t="s">
        <v>173</v>
      </c>
    </row>
    <row r="22">
      <c r="A22" s="85" t="s">
        <v>174</v>
      </c>
      <c r="B22" s="102">
        <f>10*B1*2</f>
        <v>643700</v>
      </c>
    </row>
    <row r="23">
      <c r="A23" s="85" t="s">
        <v>175</v>
      </c>
      <c r="D23" s="100">
        <v>1000000.0</v>
      </c>
    </row>
    <row r="25" ht="22.5" customHeight="1">
      <c r="E25" s="86" t="s">
        <v>146</v>
      </c>
      <c r="F25" s="86" t="s">
        <v>147</v>
      </c>
      <c r="G25" s="86" t="s">
        <v>148</v>
      </c>
      <c r="H25" s="87" t="s">
        <v>43</v>
      </c>
      <c r="I25" s="88" t="s">
        <v>149</v>
      </c>
      <c r="J25" s="89" t="s">
        <v>144</v>
      </c>
      <c r="K25" s="88" t="s">
        <v>150</v>
      </c>
      <c r="L25" s="88" t="s">
        <v>176</v>
      </c>
      <c r="M25" s="88" t="s">
        <v>152</v>
      </c>
      <c r="N25" s="88" t="s">
        <v>153</v>
      </c>
    </row>
    <row r="26" ht="22.5" customHeight="1">
      <c r="E26" s="91">
        <v>43465.0</v>
      </c>
      <c r="F26" s="92">
        <f>B18*1.3</f>
        <v>5200000</v>
      </c>
      <c r="G26" s="92">
        <f t="shared" ref="G26:G30" si="8">$F26-$B$18</f>
        <v>1200000</v>
      </c>
      <c r="H26" s="103">
        <f t="shared" ref="H26:H27" si="9">0</f>
        <v>0</v>
      </c>
      <c r="I26" s="94">
        <f t="shared" ref="I26:I30" si="10">$B$12</f>
        <v>321850</v>
      </c>
      <c r="J26" s="95">
        <v>0.0</v>
      </c>
      <c r="K26" s="94">
        <f>B18</f>
        <v>4000000</v>
      </c>
      <c r="L26" s="92">
        <v>0.0</v>
      </c>
      <c r="M26" s="94">
        <f>N26</f>
        <v>-3121850</v>
      </c>
      <c r="N26" s="94">
        <f t="shared" ref="N26:N30" si="11">$G26-$H26-$I26-$J26-$K26</f>
        <v>-3121850</v>
      </c>
    </row>
    <row r="27" ht="22.5" customHeight="1">
      <c r="A27" s="104" t="s">
        <v>177</v>
      </c>
      <c r="B27" s="104" t="s">
        <v>178</v>
      </c>
      <c r="C27" s="104" t="s">
        <v>166</v>
      </c>
      <c r="E27" s="91">
        <v>43830.0</v>
      </c>
      <c r="F27" s="92">
        <f>F26*1.3</f>
        <v>6760000</v>
      </c>
      <c r="G27" s="92">
        <f t="shared" si="8"/>
        <v>2760000</v>
      </c>
      <c r="H27" s="103">
        <f t="shared" si="9"/>
        <v>0</v>
      </c>
      <c r="I27" s="94">
        <f t="shared" si="10"/>
        <v>321850</v>
      </c>
      <c r="J27" s="95">
        <v>0.0</v>
      </c>
      <c r="K27" s="94">
        <f>C18</f>
        <v>4000000</v>
      </c>
      <c r="L27" s="92">
        <v>0.0</v>
      </c>
      <c r="M27" s="94">
        <f t="shared" ref="M27:M30" si="12">$N26+$N27</f>
        <v>-4683700</v>
      </c>
      <c r="N27" s="94">
        <f t="shared" si="11"/>
        <v>-1561850</v>
      </c>
    </row>
    <row r="28" ht="22.5" customHeight="1">
      <c r="A28" s="105" t="s">
        <v>179</v>
      </c>
      <c r="B28" s="106">
        <f t="array" ref="B28">NPV(10%,N7:N10)+N5+N6</f>
        <v>-1309275.003</v>
      </c>
      <c r="C28" s="106">
        <f t="array" ref="C28">NPV(10%,N28:N30)+N26+N27</f>
        <v>4261785.725</v>
      </c>
      <c r="E28" s="91">
        <v>44196.0</v>
      </c>
      <c r="F28" s="92">
        <f t="shared" ref="F28:F30" si="13">$F27*1.15</f>
        <v>7774000</v>
      </c>
      <c r="G28" s="92">
        <f t="shared" si="8"/>
        <v>3774000</v>
      </c>
      <c r="H28" s="107">
        <f t="shared" ref="H28:H30" si="14">$D$23</f>
        <v>1000000</v>
      </c>
      <c r="I28" s="94">
        <f t="shared" si="10"/>
        <v>321850</v>
      </c>
      <c r="J28" s="95">
        <v>0.0</v>
      </c>
      <c r="K28" s="93"/>
      <c r="L28" s="92">
        <v>0.0</v>
      </c>
      <c r="M28" s="94">
        <f t="shared" si="12"/>
        <v>890300</v>
      </c>
      <c r="N28" s="94">
        <f t="shared" si="11"/>
        <v>2452150</v>
      </c>
    </row>
    <row r="29" ht="22.5" customHeight="1">
      <c r="A29" s="105" t="s">
        <v>180</v>
      </c>
      <c r="B29" s="108">
        <f>IRR(N5:N10)</f>
        <v>-0.0275731206</v>
      </c>
      <c r="C29" s="109">
        <f>IRR(N26:N30)</f>
        <v>0.3534629323</v>
      </c>
      <c r="E29" s="91">
        <v>44561.0</v>
      </c>
      <c r="F29" s="92">
        <f t="shared" si="13"/>
        <v>8940100</v>
      </c>
      <c r="G29" s="92">
        <f t="shared" si="8"/>
        <v>4940100</v>
      </c>
      <c r="H29" s="107">
        <f t="shared" si="14"/>
        <v>1000000</v>
      </c>
      <c r="I29" s="94">
        <f t="shared" si="10"/>
        <v>321850</v>
      </c>
      <c r="J29" s="95">
        <v>0.0</v>
      </c>
      <c r="K29" s="93"/>
      <c r="L29" s="92">
        <v>0.0</v>
      </c>
      <c r="M29" s="94">
        <f t="shared" si="12"/>
        <v>6070400</v>
      </c>
      <c r="N29" s="94">
        <f t="shared" si="11"/>
        <v>3618250</v>
      </c>
    </row>
    <row r="30" ht="22.5" customHeight="1">
      <c r="A30" s="105" t="s">
        <v>181</v>
      </c>
      <c r="B30" s="105" t="s">
        <v>182</v>
      </c>
      <c r="C30" s="105" t="s">
        <v>182</v>
      </c>
      <c r="E30" s="91">
        <v>44926.0</v>
      </c>
      <c r="F30" s="92">
        <f t="shared" si="13"/>
        <v>10281115</v>
      </c>
      <c r="G30" s="92">
        <f t="shared" si="8"/>
        <v>6281115</v>
      </c>
      <c r="H30" s="107">
        <f t="shared" si="14"/>
        <v>1000000</v>
      </c>
      <c r="I30" s="94">
        <f t="shared" si="10"/>
        <v>321850</v>
      </c>
      <c r="J30" s="95">
        <v>0.0</v>
      </c>
      <c r="K30" s="93"/>
      <c r="L30" s="92">
        <v>0.0</v>
      </c>
      <c r="M30" s="94">
        <f t="shared" si="12"/>
        <v>8577515</v>
      </c>
      <c r="N30" s="94">
        <f t="shared" si="11"/>
        <v>4959265</v>
      </c>
    </row>
    <row r="31" ht="22.5" customHeight="1">
      <c r="A31" s="105" t="s">
        <v>183</v>
      </c>
      <c r="B31" s="103">
        <f>SUM(N5:N10)/SUM(K5:K6)*100</f>
        <v>-7.184749036</v>
      </c>
      <c r="C31" s="103">
        <f>SUM(N26:N30)/SUM(K26:K27)*100</f>
        <v>79.3245625</v>
      </c>
      <c r="E31" s="91"/>
      <c r="F31" s="92"/>
      <c r="G31" s="92"/>
      <c r="I31" s="98"/>
      <c r="J31" s="95"/>
      <c r="K31" s="93"/>
      <c r="L31" s="92"/>
      <c r="M31" s="98"/>
      <c r="N31" s="98"/>
    </row>
    <row r="32" ht="22.5" customHeight="1">
      <c r="A32" s="105" t="s">
        <v>184</v>
      </c>
      <c r="B32" s="106">
        <f>C28</f>
        <v>4261785.725</v>
      </c>
      <c r="C32" s="106">
        <f>B28</f>
        <v>-1309275.003</v>
      </c>
      <c r="E32" s="91"/>
      <c r="F32" s="92"/>
      <c r="G32" s="92"/>
      <c r="I32" s="98"/>
      <c r="J32" s="95"/>
      <c r="K32" s="93"/>
      <c r="L32" s="92"/>
      <c r="M32" s="98"/>
      <c r="N32" s="98"/>
    </row>
    <row r="33" ht="22.5" customHeight="1">
      <c r="E33" s="91"/>
      <c r="F33" s="92"/>
      <c r="G33" s="92"/>
      <c r="I33" s="98"/>
      <c r="J33" s="95"/>
      <c r="K33" s="93"/>
      <c r="L33" s="92"/>
      <c r="M33" s="98"/>
      <c r="N33" s="98"/>
    </row>
    <row r="34" ht="22.5" customHeight="1">
      <c r="E34" s="91"/>
      <c r="F34" s="92"/>
      <c r="G34" s="92"/>
      <c r="I34" s="98"/>
      <c r="J34" s="95"/>
      <c r="K34" s="93"/>
      <c r="L34" s="92"/>
      <c r="M34" s="98"/>
      <c r="N34" s="98"/>
    </row>
    <row r="35" ht="22.5" customHeight="1">
      <c r="E35" s="91"/>
      <c r="F35" s="92"/>
      <c r="G35" s="92"/>
      <c r="I35" s="98"/>
      <c r="J35" s="95"/>
      <c r="K35" s="93"/>
      <c r="L35" s="92"/>
      <c r="M35" s="98"/>
      <c r="N35" s="98"/>
    </row>
    <row r="36" ht="22.5" customHeight="1">
      <c r="E36" s="91"/>
      <c r="F36" s="92"/>
      <c r="G36" s="92"/>
      <c r="I36" s="98"/>
      <c r="J36" s="95"/>
      <c r="K36" s="93"/>
      <c r="L36" s="92"/>
      <c r="M36" s="98"/>
      <c r="N36" s="98"/>
    </row>
    <row r="38"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</row>
    <row r="39"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</row>
    <row r="40"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</row>
    <row r="41"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</row>
    <row r="42"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</row>
    <row r="43"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</row>
    <row r="44"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</row>
    <row r="45"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</row>
    <row r="46"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</row>
    <row r="47"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</row>
    <row r="48"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</row>
    <row r="49"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</row>
    <row r="68">
      <c r="A68" s="85" t="s">
        <v>185</v>
      </c>
    </row>
    <row r="70">
      <c r="A70" s="85" t="s">
        <v>186</v>
      </c>
    </row>
    <row r="72">
      <c r="A72" s="85" t="s">
        <v>187</v>
      </c>
    </row>
    <row r="74">
      <c r="A74" s="85" t="s">
        <v>188</v>
      </c>
    </row>
  </sheetData>
  <dataValidations>
    <dataValidation type="custom" allowBlank="1" showDropDown="1" sqref="E5:E15 E26:E36">
      <formula1>OR(NOT(ISERROR(DATEVALUE(E5))), AND(ISNUMBER(E5), LEFT(CELL("format", E5))="D"))</formula1>
    </dataValidation>
    <dataValidation type="custom" allowBlank="1" showDropDown="1" sqref="F5:G15 K5:L15 F26:G36 K26:L36">
      <formula1>AND(ISNUMBER(F5),(NOT(OR(NOT(ISERROR(DATEVALUE(F5))), AND(ISNUMBER(F5), LEFT(CELL("format", F5))="D")))))</formula1>
    </dataValidation>
  </dataValidations>
  <drawing r:id="rId1"/>
  <tableParts count="3">
    <tablePart r:id="rId5"/>
    <tablePart r:id="rId6"/>
    <tablePart r:id="rId7"/>
  </tableParts>
</worksheet>
</file>